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oao-pedro_bastos_ttu_edu/Documents/Personal/Projects/Papers/Cuba/data/"/>
    </mc:Choice>
  </mc:AlternateContent>
  <xr:revisionPtr revIDLastSave="29" documentId="13_ncr:1_{D2A15E3D-D2A7-6E46-BFD9-A015F1DCAEE9}" xr6:coauthVersionLast="47" xr6:coauthVersionMax="47" xr10:uidLastSave="{23FB9D3E-156F-2A4F-ACAD-E6711FEFAE59}"/>
  <bookViews>
    <workbookView xWindow="18780" yWindow="-21100" windowWidth="38400" windowHeight="21100" activeTab="2" xr2:uid="{6296D1C9-801F-49DF-8E68-DD6672593FA6}"/>
  </bookViews>
  <sheets>
    <sheet name="Appendix Figure A1" sheetId="1" r:id="rId1"/>
    <sheet name="Table A1" sheetId="3" r:id="rId2"/>
    <sheet name="NTL Calculations" sheetId="4" r:id="rId3"/>
    <sheet name="Figure A2" sheetId="5" r:id="rId4"/>
    <sheet name="Figure A3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E21" i="4"/>
  <c r="E22" i="4"/>
  <c r="G19" i="4"/>
  <c r="I1" i="4"/>
  <c r="I4" i="4" s="1"/>
  <c r="G1" i="4"/>
  <c r="G6" i="4" s="1"/>
  <c r="E1" i="4"/>
  <c r="E11" i="4" s="1"/>
  <c r="G13" i="4" l="1"/>
  <c r="G5" i="4"/>
  <c r="I15" i="4"/>
  <c r="E18" i="4"/>
  <c r="E10" i="4"/>
  <c r="G3" i="4"/>
  <c r="G12" i="4"/>
  <c r="G4" i="4"/>
  <c r="I14" i="4"/>
  <c r="E17" i="4"/>
  <c r="E9" i="4"/>
  <c r="G11" i="4"/>
  <c r="E16" i="4"/>
  <c r="E8" i="4"/>
  <c r="G18" i="4"/>
  <c r="G10" i="4"/>
  <c r="I3" i="4"/>
  <c r="I12" i="4"/>
  <c r="E15" i="4"/>
  <c r="E7" i="4"/>
  <c r="G17" i="4"/>
  <c r="G9" i="4"/>
  <c r="I19" i="4"/>
  <c r="I11" i="4"/>
  <c r="I10" i="4"/>
  <c r="I9" i="4"/>
  <c r="I8" i="4"/>
  <c r="E14" i="4"/>
  <c r="E6" i="4"/>
  <c r="G16" i="4"/>
  <c r="G8" i="4"/>
  <c r="I18" i="4"/>
  <c r="I7" i="4"/>
  <c r="E13" i="4"/>
  <c r="E5" i="4"/>
  <c r="G15" i="4"/>
  <c r="G7" i="4"/>
  <c r="I17" i="4"/>
  <c r="E3" i="4"/>
  <c r="E12" i="4"/>
  <c r="E4" i="4"/>
  <c r="G14" i="4"/>
  <c r="I16" i="4"/>
  <c r="E19" i="4"/>
  <c r="I6" i="4"/>
  <c r="I13" i="4"/>
  <c r="I5" i="4"/>
</calcChain>
</file>

<file path=xl/sharedStrings.xml><?xml version="1.0" encoding="utf-8"?>
<sst xmlns="http://schemas.openxmlformats.org/spreadsheetml/2006/main" count="115" uniqueCount="36">
  <si>
    <t>Year</t>
  </si>
  <si>
    <t>3rd</t>
  </si>
  <si>
    <t>20 LA + C countries</t>
  </si>
  <si>
    <t>Source</t>
  </si>
  <si>
    <t>Rank</t>
  </si>
  <si>
    <t>Out of:</t>
  </si>
  <si>
    <t>Variable</t>
  </si>
  <si>
    <t>Income per head</t>
  </si>
  <si>
    <t>Bulmer Thomas p. 331</t>
  </si>
  <si>
    <t>Bulmber Thomas p. 491-2</t>
  </si>
  <si>
    <t>2nd</t>
  </si>
  <si>
    <t>9 LA countries</t>
  </si>
  <si>
    <t>5th</t>
  </si>
  <si>
    <t>Devereux</t>
  </si>
  <si>
    <t>Consumption per capita</t>
  </si>
  <si>
    <t>Human Development Index</t>
  </si>
  <si>
    <t>15 LA + C Countries</t>
  </si>
  <si>
    <t>1953-1958</t>
  </si>
  <si>
    <t>Mesa-Lago</t>
  </si>
  <si>
    <t xml:space="preserve">3rd </t>
  </si>
  <si>
    <t>GDPPCUNADJ</t>
  </si>
  <si>
    <t>GDPPCADJ</t>
  </si>
  <si>
    <t>countryname</t>
  </si>
  <si>
    <t>year</t>
  </si>
  <si>
    <t>Cuba</t>
  </si>
  <si>
    <t>Figure A2</t>
  </si>
  <si>
    <t>Martinez</t>
  </si>
  <si>
    <t>1992-1994</t>
  </si>
  <si>
    <t xml:space="preserve">Devereux </t>
  </si>
  <si>
    <t>Devereux Rebased</t>
  </si>
  <si>
    <t>MPD 2023</t>
  </si>
  <si>
    <t>MPD 2023 Rebased</t>
  </si>
  <si>
    <t>adj_mad23</t>
  </si>
  <si>
    <t>mpd2010</t>
  </si>
  <si>
    <t>mpd2018</t>
  </si>
  <si>
    <t>mpd2020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</si>
</sst>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Figure A1'!$D$1</c:f>
              <c:strCache>
                <c:ptCount val="1"/>
                <c:pt idx="0">
                  <c:v>mpd2020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A1'!$D$2:$D$81</c:f>
              <c:numCache>
                <c:formatCode>General</c:formatCode>
                <c:ptCount val="80"/>
                <c:pt idx="0">
                  <c:v>0.8339986693280107</c:v>
                </c:pt>
                <c:pt idx="1">
                  <c:v>0.79108449767132405</c:v>
                </c:pt>
                <c:pt idx="2">
                  <c:v>0.58483033932135731</c:v>
                </c:pt>
                <c:pt idx="3">
                  <c:v>0.54191616766467066</c:v>
                </c:pt>
                <c:pt idx="4">
                  <c:v>0.51596806387225547</c:v>
                </c:pt>
                <c:pt idx="5">
                  <c:v>0.55888223552894212</c:v>
                </c:pt>
                <c:pt idx="6">
                  <c:v>0.60179640718562877</c:v>
                </c:pt>
                <c:pt idx="7">
                  <c:v>0.63639387890884902</c:v>
                </c:pt>
                <c:pt idx="8">
                  <c:v>0.67930805056553556</c:v>
                </c:pt>
                <c:pt idx="9">
                  <c:v>0.68829008649367929</c:v>
                </c:pt>
                <c:pt idx="10">
                  <c:v>0.67930805056553556</c:v>
                </c:pt>
                <c:pt idx="11">
                  <c:v>0.68829008649367929</c:v>
                </c:pt>
                <c:pt idx="12">
                  <c:v>0.73120425815036594</c:v>
                </c:pt>
                <c:pt idx="13">
                  <c:v>0.73120425815036594</c:v>
                </c:pt>
                <c:pt idx="14">
                  <c:v>0.68829008649367929</c:v>
                </c:pt>
                <c:pt idx="15">
                  <c:v>0.75681969394544246</c:v>
                </c:pt>
                <c:pt idx="16">
                  <c:v>0.75681969394544246</c:v>
                </c:pt>
                <c:pt idx="17">
                  <c:v>0.80006653359946778</c:v>
                </c:pt>
                <c:pt idx="18">
                  <c:v>0.85163007318695938</c:v>
                </c:pt>
                <c:pt idx="19">
                  <c:v>0.8339986693280107</c:v>
                </c:pt>
                <c:pt idx="20">
                  <c:v>0.82568196939454419</c:v>
                </c:pt>
                <c:pt idx="21">
                  <c:v>0.87757817697937457</c:v>
                </c:pt>
                <c:pt idx="22">
                  <c:v>0.88622754491017963</c:v>
                </c:pt>
                <c:pt idx="23">
                  <c:v>0.94610778443113774</c:v>
                </c:pt>
                <c:pt idx="24">
                  <c:v>0.86859614105123084</c:v>
                </c:pt>
                <c:pt idx="25">
                  <c:v>0.86859614105123084</c:v>
                </c:pt>
                <c:pt idx="26">
                  <c:v>0.87757817697937457</c:v>
                </c:pt>
                <c:pt idx="27">
                  <c:v>0.91151031270791749</c:v>
                </c:pt>
                <c:pt idx="28">
                  <c:v>0.97205588822355293</c:v>
                </c:pt>
                <c:pt idx="29">
                  <c:v>0.97205588822355293</c:v>
                </c:pt>
                <c:pt idx="30">
                  <c:v>1</c:v>
                </c:pt>
                <c:pt idx="31">
                  <c:v>0.99600798403193613</c:v>
                </c:pt>
                <c:pt idx="32">
                  <c:v>1.0206254158349968</c:v>
                </c:pt>
                <c:pt idx="33">
                  <c:v>0.98935462408516306</c:v>
                </c:pt>
                <c:pt idx="34">
                  <c:v>0.98403193612774453</c:v>
                </c:pt>
                <c:pt idx="35">
                  <c:v>1.0505655355954757</c:v>
                </c:pt>
                <c:pt idx="36">
                  <c:v>1.0272787757817698</c:v>
                </c:pt>
                <c:pt idx="37">
                  <c:v>1.0595475715236193</c:v>
                </c:pt>
                <c:pt idx="38">
                  <c:v>1.1606786427145708</c:v>
                </c:pt>
                <c:pt idx="39">
                  <c:v>1.0741849634065204</c:v>
                </c:pt>
                <c:pt idx="40">
                  <c:v>1.0435795076513639</c:v>
                </c:pt>
                <c:pt idx="41">
                  <c:v>0.99001996007984028</c:v>
                </c:pt>
                <c:pt idx="42">
                  <c:v>1.0515635395874916</c:v>
                </c:pt>
                <c:pt idx="43">
                  <c:v>1.0821689953426481</c:v>
                </c:pt>
                <c:pt idx="44">
                  <c:v>1.1596806387225549</c:v>
                </c:pt>
                <c:pt idx="45">
                  <c:v>1.2005988023952097</c:v>
                </c:pt>
                <c:pt idx="46">
                  <c:v>1.241849634065203</c:v>
                </c:pt>
                <c:pt idx="47">
                  <c:v>1.2594810379241517</c:v>
                </c:pt>
                <c:pt idx="48">
                  <c:v>1.3017298735861611</c:v>
                </c:pt>
                <c:pt idx="49">
                  <c:v>1.3685961410512308</c:v>
                </c:pt>
                <c:pt idx="50">
                  <c:v>1.3915502328675982</c:v>
                </c:pt>
                <c:pt idx="51">
                  <c:v>1.3659347970725215</c:v>
                </c:pt>
                <c:pt idx="52">
                  <c:v>1.4703925482368596</c:v>
                </c:pt>
                <c:pt idx="53">
                  <c:v>1.4926813040585496</c:v>
                </c:pt>
                <c:pt idx="54">
                  <c:v>1.5652029274783765</c:v>
                </c:pt>
                <c:pt idx="55">
                  <c:v>1.6803060545575517</c:v>
                </c:pt>
                <c:pt idx="56">
                  <c:v>1.7032601463739188</c:v>
                </c:pt>
                <c:pt idx="57">
                  <c:v>1.6882900864936794</c:v>
                </c:pt>
                <c:pt idx="58">
                  <c:v>1.625748502994012</c:v>
                </c:pt>
                <c:pt idx="59">
                  <c:v>1.6613439787092481</c:v>
                </c:pt>
                <c:pt idx="60">
                  <c:v>1.6603459747172322</c:v>
                </c:pt>
                <c:pt idx="61">
                  <c:v>1.5678642714570858</c:v>
                </c:pt>
                <c:pt idx="62">
                  <c:v>1.3247723634572621</c:v>
                </c:pt>
                <c:pt idx="63">
                  <c:v>1.1310594559250173</c:v>
                </c:pt>
                <c:pt idx="64">
                  <c:v>0.88405388412986396</c:v>
                </c:pt>
                <c:pt idx="65">
                  <c:v>0.8925809979400724</c:v>
                </c:pt>
                <c:pt idx="66">
                  <c:v>0.95168239212424632</c:v>
                </c:pt>
                <c:pt idx="67">
                  <c:v>1.0810496731323265</c:v>
                </c:pt>
                <c:pt idx="68">
                  <c:v>1.1395747785621695</c:v>
                </c:pt>
                <c:pt idx="69">
                  <c:v>1.1362425946395815</c:v>
                </c:pt>
                <c:pt idx="70">
                  <c:v>1.2054542182421155</c:v>
                </c:pt>
                <c:pt idx="71">
                  <c:v>1.3337790672958749</c:v>
                </c:pt>
                <c:pt idx="72">
                  <c:v>1.4076260257441233</c:v>
                </c:pt>
                <c:pt idx="73">
                  <c:v>1.4534398872416394</c:v>
                </c:pt>
                <c:pt idx="74">
                  <c:v>1.4992268310280137</c:v>
                </c:pt>
                <c:pt idx="75">
                  <c:v>1.5173042986533243</c:v>
                </c:pt>
                <c:pt idx="76">
                  <c:v>1.568099236299094</c:v>
                </c:pt>
                <c:pt idx="77">
                  <c:v>1.8017768435190367</c:v>
                </c:pt>
                <c:pt idx="78">
                  <c:v>1.8748131251173217</c:v>
                </c:pt>
                <c:pt idx="79">
                  <c:v>1.997636015244356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9-4065-84A1-93DCB6A43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064143"/>
        <c:axId val="1106066063"/>
      </c:lineChart>
      <c:catAx>
        <c:axId val="110606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66063"/>
        <c:crosses val="autoZero"/>
        <c:auto val="1"/>
        <c:lblAlgn val="ctr"/>
        <c:lblOffset val="100"/>
        <c:noMultiLvlLbl val="0"/>
      </c:catAx>
      <c:valAx>
        <c:axId val="110606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6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Figure A1'!$B$1</c:f>
              <c:strCache>
                <c:ptCount val="1"/>
                <c:pt idx="0">
                  <c:v>mpd2010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A1'!$B$2:$B$81</c:f>
              <c:numCache>
                <c:formatCode>General</c:formatCode>
                <c:ptCount val="80"/>
                <c:pt idx="0">
                  <c:v>0.79285237944151621</c:v>
                </c:pt>
                <c:pt idx="1">
                  <c:v>0.72833194080647135</c:v>
                </c:pt>
                <c:pt idx="2">
                  <c:v>0.60052003992230008</c:v>
                </c:pt>
                <c:pt idx="3">
                  <c:v>0.4729013875737122</c:v>
                </c:pt>
                <c:pt idx="4">
                  <c:v>0.50206436368308371</c:v>
                </c:pt>
                <c:pt idx="5">
                  <c:v>0.57867955782350466</c:v>
                </c:pt>
                <c:pt idx="6">
                  <c:v>0.6634483848888556</c:v>
                </c:pt>
                <c:pt idx="7">
                  <c:v>0.76111211485623309</c:v>
                </c:pt>
                <c:pt idx="8">
                  <c:v>0.8609465596224094</c:v>
                </c:pt>
                <c:pt idx="9">
                  <c:v>0.65690917941641047</c:v>
                </c:pt>
                <c:pt idx="10">
                  <c:v>0.68265725445419534</c:v>
                </c:pt>
                <c:pt idx="11">
                  <c:v>0.58449704682657444</c:v>
                </c:pt>
                <c:pt idx="12">
                  <c:v>0.77350378000697495</c:v>
                </c:pt>
                <c:pt idx="13">
                  <c:v>0.63914280855369576</c:v>
                </c:pt>
                <c:pt idx="14">
                  <c:v>0.69745007467921305</c:v>
                </c:pt>
                <c:pt idx="15">
                  <c:v>0.78895734837901454</c:v>
                </c:pt>
                <c:pt idx="16">
                  <c:v>0.85926165043213532</c:v>
                </c:pt>
                <c:pt idx="17">
                  <c:v>0.91610131886242108</c:v>
                </c:pt>
                <c:pt idx="18">
                  <c:v>1.0259815763313671</c:v>
                </c:pt>
                <c:pt idx="19">
                  <c:v>0.8914325573637788</c:v>
                </c:pt>
                <c:pt idx="20">
                  <c:v>0.94745058399632265</c:v>
                </c:pt>
                <c:pt idx="21">
                  <c:v>0.99002804032843295</c:v>
                </c:pt>
                <c:pt idx="22">
                  <c:v>1.052607507432725</c:v>
                </c:pt>
                <c:pt idx="23">
                  <c:v>1.0676378879551935</c:v>
                </c:pt>
                <c:pt idx="24">
                  <c:v>0.91945993453013819</c:v>
                </c:pt>
                <c:pt idx="25">
                  <c:v>0.94672346463484103</c:v>
                </c:pt>
                <c:pt idx="26">
                  <c:v>0.97007286871378573</c:v>
                </c:pt>
                <c:pt idx="27">
                  <c:v>1.0375765793734597</c:v>
                </c:pt>
                <c:pt idx="28">
                  <c:v>1.1642694023713149</c:v>
                </c:pt>
                <c:pt idx="29">
                  <c:v>1.1432142622961556</c:v>
                </c:pt>
                <c:pt idx="30">
                  <c:v>1</c:v>
                </c:pt>
                <c:pt idx="31">
                  <c:v>0.99276436660332845</c:v>
                </c:pt>
                <c:pt idx="32">
                  <c:v>0.99187453530507952</c:v>
                </c:pt>
                <c:pt idx="33">
                  <c:v>0.9900891260291278</c:v>
                </c:pt>
                <c:pt idx="34">
                  <c:v>0.98294658159728165</c:v>
                </c:pt>
                <c:pt idx="35">
                  <c:v>0.97220393969932384</c:v>
                </c:pt>
                <c:pt idx="36">
                  <c:v>0.96203549957781198</c:v>
                </c:pt>
                <c:pt idx="37">
                  <c:v>0.99246628274327664</c:v>
                </c:pt>
                <c:pt idx="38">
                  <c:v>1.0874614793705819</c:v>
                </c:pt>
                <c:pt idx="39">
                  <c:v>1.006335215660036</c:v>
                </c:pt>
                <c:pt idx="40">
                  <c:v>0.97776918786945677</c:v>
                </c:pt>
                <c:pt idx="41">
                  <c:v>0.92770601947551901</c:v>
                </c:pt>
                <c:pt idx="42">
                  <c:v>0.98533969357256113</c:v>
                </c:pt>
                <c:pt idx="43">
                  <c:v>1.0139183833791487</c:v>
                </c:pt>
                <c:pt idx="44">
                  <c:v>1.0862527897053287</c:v>
                </c:pt>
                <c:pt idx="45">
                  <c:v>1.1244630549935122</c:v>
                </c:pt>
                <c:pt idx="46">
                  <c:v>1.1632691171293441</c:v>
                </c:pt>
                <c:pt idx="47">
                  <c:v>1.1798802107743751</c:v>
                </c:pt>
                <c:pt idx="48">
                  <c:v>1.2193700676395907</c:v>
                </c:pt>
                <c:pt idx="49">
                  <c:v>1.2819935644731955</c:v>
                </c:pt>
                <c:pt idx="50">
                  <c:v>1.3037333380919833</c:v>
                </c:pt>
                <c:pt idx="51">
                  <c:v>1.2794772488227277</c:v>
                </c:pt>
                <c:pt idx="52">
                  <c:v>1.377667374156424</c:v>
                </c:pt>
                <c:pt idx="53">
                  <c:v>1.3983289659162093</c:v>
                </c:pt>
                <c:pt idx="54">
                  <c:v>1.4251013559571053</c:v>
                </c:pt>
                <c:pt idx="55">
                  <c:v>1.4623600085314721</c:v>
                </c:pt>
                <c:pt idx="56">
                  <c:v>1.4753346199037836</c:v>
                </c:pt>
                <c:pt idx="57">
                  <c:v>1.4649442931966878</c:v>
                </c:pt>
                <c:pt idx="58">
                  <c:v>1.4428278758429978</c:v>
                </c:pt>
                <c:pt idx="59">
                  <c:v>1.4563763782473518</c:v>
                </c:pt>
                <c:pt idx="60">
                  <c:v>1.4470312330194557</c:v>
                </c:pt>
                <c:pt idx="61">
                  <c:v>1.4306919042598003</c:v>
                </c:pt>
                <c:pt idx="62">
                  <c:v>1.2530551577781457</c:v>
                </c:pt>
                <c:pt idx="63">
                  <c:v>1.0719678212581725</c:v>
                </c:pt>
                <c:pt idx="64">
                  <c:v>0.89414650709692978</c:v>
                </c:pt>
                <c:pt idx="65">
                  <c:v>0.90815132747649741</c:v>
                </c:pt>
                <c:pt idx="66">
                  <c:v>0.93453142283806045</c:v>
                </c:pt>
                <c:pt idx="67">
                  <c:v>1.0114699307602903</c:v>
                </c:pt>
                <c:pt idx="68">
                  <c:v>1.0410413497289033</c:v>
                </c:pt>
                <c:pt idx="69">
                  <c:v>1.0500533906389111</c:v>
                </c:pt>
                <c:pt idx="70">
                  <c:v>1.1159681048281589</c:v>
                </c:pt>
                <c:pt idx="71">
                  <c:v>1.1717204179532907</c:v>
                </c:pt>
                <c:pt idx="72">
                  <c:v>1.201077836912358</c:v>
                </c:pt>
                <c:pt idx="73">
                  <c:v>1.214350515468305</c:v>
                </c:pt>
                <c:pt idx="74">
                  <c:v>1.2555437597384715</c:v>
                </c:pt>
                <c:pt idx="75">
                  <c:v>1.3235495284046641</c:v>
                </c:pt>
                <c:pt idx="76">
                  <c:v>1.4668726456029244</c:v>
                </c:pt>
                <c:pt idx="77">
                  <c:v>1.6391584830635861</c:v>
                </c:pt>
                <c:pt idx="78">
                  <c:v>1.7538778893001927</c:v>
                </c:pt>
                <c:pt idx="79">
                  <c:v>1.8209743593784709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5-449E-AEDB-E9E8BCDF48DA}"/>
            </c:ext>
          </c:extLst>
        </c:ser>
        <c:ser>
          <c:idx val="1"/>
          <c:order val="1"/>
          <c:tx>
            <c:strRef>
              <c:f>'Appendix Figure A1'!$C$1</c:f>
              <c:strCache>
                <c:ptCount val="1"/>
                <c:pt idx="0">
                  <c:v>mpd2018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A1'!$C$2:$C$81</c:f>
              <c:numCache>
                <c:formatCode>General</c:formatCode>
                <c:ptCount val="80"/>
                <c:pt idx="0">
                  <c:v>0.83439926907263595</c:v>
                </c:pt>
                <c:pt idx="1">
                  <c:v>0.79122887163088174</c:v>
                </c:pt>
                <c:pt idx="2">
                  <c:v>0.58497030607583367</c:v>
                </c:pt>
                <c:pt idx="3">
                  <c:v>0.54179990863407945</c:v>
                </c:pt>
                <c:pt idx="4">
                  <c:v>0.51598903608953861</c:v>
                </c:pt>
                <c:pt idx="5">
                  <c:v>0.55915943353129283</c:v>
                </c:pt>
                <c:pt idx="6">
                  <c:v>0.60210141617176793</c:v>
                </c:pt>
                <c:pt idx="7">
                  <c:v>0.63636363636363635</c:v>
                </c:pt>
                <c:pt idx="8">
                  <c:v>0.67953403380539057</c:v>
                </c:pt>
                <c:pt idx="9">
                  <c:v>0.68798538145271815</c:v>
                </c:pt>
                <c:pt idx="10">
                  <c:v>0.67953403380539057</c:v>
                </c:pt>
                <c:pt idx="11">
                  <c:v>0.68798538145271815</c:v>
                </c:pt>
                <c:pt idx="12">
                  <c:v>0.73115577889447236</c:v>
                </c:pt>
                <c:pt idx="13">
                  <c:v>0.73115577889447236</c:v>
                </c:pt>
                <c:pt idx="14">
                  <c:v>0.68798538145271815</c:v>
                </c:pt>
                <c:pt idx="15">
                  <c:v>0.75696665143901321</c:v>
                </c:pt>
                <c:pt idx="16">
                  <c:v>0.75696665143901321</c:v>
                </c:pt>
                <c:pt idx="17">
                  <c:v>0.79990863407948831</c:v>
                </c:pt>
                <c:pt idx="18">
                  <c:v>0.85153037916857011</c:v>
                </c:pt>
                <c:pt idx="19">
                  <c:v>0.83439926907263595</c:v>
                </c:pt>
                <c:pt idx="20">
                  <c:v>0.82571950662402926</c:v>
                </c:pt>
                <c:pt idx="21">
                  <c:v>0.87734125171311106</c:v>
                </c:pt>
                <c:pt idx="22">
                  <c:v>0.88579259936043853</c:v>
                </c:pt>
                <c:pt idx="23">
                  <c:v>0.94609410689812701</c:v>
                </c:pt>
                <c:pt idx="24">
                  <c:v>0.86866148926450437</c:v>
                </c:pt>
                <c:pt idx="25">
                  <c:v>0.86866148926450437</c:v>
                </c:pt>
                <c:pt idx="26">
                  <c:v>0.87734125171311106</c:v>
                </c:pt>
                <c:pt idx="27">
                  <c:v>0.91160347190497948</c:v>
                </c:pt>
                <c:pt idx="28">
                  <c:v>0.97190497944266785</c:v>
                </c:pt>
                <c:pt idx="29">
                  <c:v>0.97190497944266785</c:v>
                </c:pt>
                <c:pt idx="30">
                  <c:v>1</c:v>
                </c:pt>
                <c:pt idx="31">
                  <c:v>0.99588853357697582</c:v>
                </c:pt>
                <c:pt idx="32">
                  <c:v>1.0205573321151211</c:v>
                </c:pt>
                <c:pt idx="33">
                  <c:v>0.98949291914116033</c:v>
                </c:pt>
                <c:pt idx="34">
                  <c:v>0.9842393787117405</c:v>
                </c:pt>
                <c:pt idx="35">
                  <c:v>1.050251256281407</c:v>
                </c:pt>
                <c:pt idx="36">
                  <c:v>1.0267245317496574</c:v>
                </c:pt>
                <c:pt idx="37">
                  <c:v>1.0591594335312928</c:v>
                </c:pt>
                <c:pt idx="38">
                  <c:v>1.1608040201005025</c:v>
                </c:pt>
                <c:pt idx="39">
                  <c:v>1.0742348104157149</c:v>
                </c:pt>
                <c:pt idx="40">
                  <c:v>1.0436272270443125</c:v>
                </c:pt>
                <c:pt idx="41">
                  <c:v>0.99017816354499777</c:v>
                </c:pt>
                <c:pt idx="42">
                  <c:v>1.0516217450890817</c:v>
                </c:pt>
                <c:pt idx="43">
                  <c:v>1.0822293284604843</c:v>
                </c:pt>
                <c:pt idx="44">
                  <c:v>1.1594335312928277</c:v>
                </c:pt>
                <c:pt idx="45">
                  <c:v>1.2000913659205117</c:v>
                </c:pt>
                <c:pt idx="46">
                  <c:v>1.2416628597533119</c:v>
                </c:pt>
                <c:pt idx="47">
                  <c:v>1.2592507994518045</c:v>
                </c:pt>
                <c:pt idx="48">
                  <c:v>1.3015075376884422</c:v>
                </c:pt>
                <c:pt idx="49">
                  <c:v>1.3682046596619462</c:v>
                </c:pt>
                <c:pt idx="50">
                  <c:v>1.3915029693924166</c:v>
                </c:pt>
                <c:pt idx="51">
                  <c:v>1.3656920968478758</c:v>
                </c:pt>
                <c:pt idx="52">
                  <c:v>1.4705344906349931</c:v>
                </c:pt>
                <c:pt idx="53">
                  <c:v>1.4924623115577889</c:v>
                </c:pt>
                <c:pt idx="54">
                  <c:v>1.5650982183645501</c:v>
                </c:pt>
                <c:pt idx="55">
                  <c:v>1.680219278209228</c:v>
                </c:pt>
                <c:pt idx="56">
                  <c:v>1.7028323435358612</c:v>
                </c:pt>
                <c:pt idx="57">
                  <c:v>1.6884422110552764</c:v>
                </c:pt>
                <c:pt idx="58">
                  <c:v>1.6256281407035176</c:v>
                </c:pt>
                <c:pt idx="59">
                  <c:v>1.6610324349017815</c:v>
                </c:pt>
                <c:pt idx="60">
                  <c:v>1.6601187756966651</c:v>
                </c:pt>
                <c:pt idx="61">
                  <c:v>1.5678391959798994</c:v>
                </c:pt>
                <c:pt idx="62">
                  <c:v>1.301050708085884</c:v>
                </c:pt>
                <c:pt idx="63">
                  <c:v>1.09113750571037</c:v>
                </c:pt>
                <c:pt idx="64">
                  <c:v>0.8378254910918228</c:v>
                </c:pt>
                <c:pt idx="65">
                  <c:v>0.83074463225216999</c:v>
                </c:pt>
                <c:pt idx="66">
                  <c:v>0.87026039287345824</c:v>
                </c:pt>
                <c:pt idx="67">
                  <c:v>0.97099132023755141</c:v>
                </c:pt>
                <c:pt idx="68">
                  <c:v>1.0052535404294198</c:v>
                </c:pt>
                <c:pt idx="69">
                  <c:v>0.98446779351301961</c:v>
                </c:pt>
                <c:pt idx="70">
                  <c:v>1.02603928734582</c:v>
                </c:pt>
                <c:pt idx="71">
                  <c:v>1.1151210598446779</c:v>
                </c:pt>
                <c:pt idx="72">
                  <c:v>1.1560073092736409</c:v>
                </c:pt>
                <c:pt idx="73">
                  <c:v>1.1724531749657379</c:v>
                </c:pt>
                <c:pt idx="74">
                  <c:v>1.1879853814527181</c:v>
                </c:pt>
                <c:pt idx="75">
                  <c:v>1.1809045226130652</c:v>
                </c:pt>
                <c:pt idx="76">
                  <c:v>1.1987208771128368</c:v>
                </c:pt>
                <c:pt idx="77">
                  <c:v>1.3529008679762449</c:v>
                </c:pt>
                <c:pt idx="78">
                  <c:v>1.38282320694381</c:v>
                </c:pt>
                <c:pt idx="79">
                  <c:v>1.4472361809045227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5-449E-AEDB-E9E8BCDF48DA}"/>
            </c:ext>
          </c:extLst>
        </c:ser>
        <c:ser>
          <c:idx val="2"/>
          <c:order val="2"/>
          <c:tx>
            <c:strRef>
              <c:f>'Appendix Figure A1'!$D$1</c:f>
              <c:strCache>
                <c:ptCount val="1"/>
                <c:pt idx="0">
                  <c:v>mpd2020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A1'!$D$2:$D$81</c:f>
              <c:numCache>
                <c:formatCode>General</c:formatCode>
                <c:ptCount val="80"/>
                <c:pt idx="0">
                  <c:v>0.8339986693280107</c:v>
                </c:pt>
                <c:pt idx="1">
                  <c:v>0.79108449767132405</c:v>
                </c:pt>
                <c:pt idx="2">
                  <c:v>0.58483033932135731</c:v>
                </c:pt>
                <c:pt idx="3">
                  <c:v>0.54191616766467066</c:v>
                </c:pt>
                <c:pt idx="4">
                  <c:v>0.51596806387225547</c:v>
                </c:pt>
                <c:pt idx="5">
                  <c:v>0.55888223552894212</c:v>
                </c:pt>
                <c:pt idx="6">
                  <c:v>0.60179640718562877</c:v>
                </c:pt>
                <c:pt idx="7">
                  <c:v>0.63639387890884902</c:v>
                </c:pt>
                <c:pt idx="8">
                  <c:v>0.67930805056553556</c:v>
                </c:pt>
                <c:pt idx="9">
                  <c:v>0.68829008649367929</c:v>
                </c:pt>
                <c:pt idx="10">
                  <c:v>0.67930805056553556</c:v>
                </c:pt>
                <c:pt idx="11">
                  <c:v>0.68829008649367929</c:v>
                </c:pt>
                <c:pt idx="12">
                  <c:v>0.73120425815036594</c:v>
                </c:pt>
                <c:pt idx="13">
                  <c:v>0.73120425815036594</c:v>
                </c:pt>
                <c:pt idx="14">
                  <c:v>0.68829008649367929</c:v>
                </c:pt>
                <c:pt idx="15">
                  <c:v>0.75681969394544246</c:v>
                </c:pt>
                <c:pt idx="16">
                  <c:v>0.75681969394544246</c:v>
                </c:pt>
                <c:pt idx="17">
                  <c:v>0.80006653359946778</c:v>
                </c:pt>
                <c:pt idx="18">
                  <c:v>0.85163007318695938</c:v>
                </c:pt>
                <c:pt idx="19">
                  <c:v>0.8339986693280107</c:v>
                </c:pt>
                <c:pt idx="20">
                  <c:v>0.82568196939454419</c:v>
                </c:pt>
                <c:pt idx="21">
                  <c:v>0.87757817697937457</c:v>
                </c:pt>
                <c:pt idx="22">
                  <c:v>0.88622754491017963</c:v>
                </c:pt>
                <c:pt idx="23">
                  <c:v>0.94610778443113774</c:v>
                </c:pt>
                <c:pt idx="24">
                  <c:v>0.86859614105123084</c:v>
                </c:pt>
                <c:pt idx="25">
                  <c:v>0.86859614105123084</c:v>
                </c:pt>
                <c:pt idx="26">
                  <c:v>0.87757817697937457</c:v>
                </c:pt>
                <c:pt idx="27">
                  <c:v>0.91151031270791749</c:v>
                </c:pt>
                <c:pt idx="28">
                  <c:v>0.97205588822355293</c:v>
                </c:pt>
                <c:pt idx="29">
                  <c:v>0.97205588822355293</c:v>
                </c:pt>
                <c:pt idx="30">
                  <c:v>1</c:v>
                </c:pt>
                <c:pt idx="31">
                  <c:v>0.99600798403193613</c:v>
                </c:pt>
                <c:pt idx="32">
                  <c:v>1.0206254158349968</c:v>
                </c:pt>
                <c:pt idx="33">
                  <c:v>0.98935462408516306</c:v>
                </c:pt>
                <c:pt idx="34">
                  <c:v>0.98403193612774453</c:v>
                </c:pt>
                <c:pt idx="35">
                  <c:v>1.0505655355954757</c:v>
                </c:pt>
                <c:pt idx="36">
                  <c:v>1.0272787757817698</c:v>
                </c:pt>
                <c:pt idx="37">
                  <c:v>1.0595475715236193</c:v>
                </c:pt>
                <c:pt idx="38">
                  <c:v>1.1606786427145708</c:v>
                </c:pt>
                <c:pt idx="39">
                  <c:v>1.0741849634065204</c:v>
                </c:pt>
                <c:pt idx="40">
                  <c:v>1.0435795076513639</c:v>
                </c:pt>
                <c:pt idx="41">
                  <c:v>0.99001996007984028</c:v>
                </c:pt>
                <c:pt idx="42">
                  <c:v>1.0515635395874916</c:v>
                </c:pt>
                <c:pt idx="43">
                  <c:v>1.0821689953426481</c:v>
                </c:pt>
                <c:pt idx="44">
                  <c:v>1.1596806387225549</c:v>
                </c:pt>
                <c:pt idx="45">
                  <c:v>1.2005988023952097</c:v>
                </c:pt>
                <c:pt idx="46">
                  <c:v>1.241849634065203</c:v>
                </c:pt>
                <c:pt idx="47">
                  <c:v>1.2594810379241517</c:v>
                </c:pt>
                <c:pt idx="48">
                  <c:v>1.3017298735861611</c:v>
                </c:pt>
                <c:pt idx="49">
                  <c:v>1.3685961410512308</c:v>
                </c:pt>
                <c:pt idx="50">
                  <c:v>1.3915502328675982</c:v>
                </c:pt>
                <c:pt idx="51">
                  <c:v>1.3659347970725215</c:v>
                </c:pt>
                <c:pt idx="52">
                  <c:v>1.4703925482368596</c:v>
                </c:pt>
                <c:pt idx="53">
                  <c:v>1.4926813040585496</c:v>
                </c:pt>
                <c:pt idx="54">
                  <c:v>1.5652029274783765</c:v>
                </c:pt>
                <c:pt idx="55">
                  <c:v>1.6803060545575517</c:v>
                </c:pt>
                <c:pt idx="56">
                  <c:v>1.7032601463739188</c:v>
                </c:pt>
                <c:pt idx="57">
                  <c:v>1.6882900864936794</c:v>
                </c:pt>
                <c:pt idx="58">
                  <c:v>1.625748502994012</c:v>
                </c:pt>
                <c:pt idx="59">
                  <c:v>1.6613439787092481</c:v>
                </c:pt>
                <c:pt idx="60">
                  <c:v>1.6603459747172322</c:v>
                </c:pt>
                <c:pt idx="61">
                  <c:v>1.5678642714570858</c:v>
                </c:pt>
                <c:pt idx="62">
                  <c:v>1.3247723634572621</c:v>
                </c:pt>
                <c:pt idx="63">
                  <c:v>1.1310594559250173</c:v>
                </c:pt>
                <c:pt idx="64">
                  <c:v>0.88405388412986396</c:v>
                </c:pt>
                <c:pt idx="65">
                  <c:v>0.8925809979400724</c:v>
                </c:pt>
                <c:pt idx="66">
                  <c:v>0.95168239212424632</c:v>
                </c:pt>
                <c:pt idx="67">
                  <c:v>1.0810496731323265</c:v>
                </c:pt>
                <c:pt idx="68">
                  <c:v>1.1395747785621695</c:v>
                </c:pt>
                <c:pt idx="69">
                  <c:v>1.1362425946395815</c:v>
                </c:pt>
                <c:pt idx="70">
                  <c:v>1.2054542182421155</c:v>
                </c:pt>
                <c:pt idx="71">
                  <c:v>1.3337790672958749</c:v>
                </c:pt>
                <c:pt idx="72">
                  <c:v>1.4076260257441233</c:v>
                </c:pt>
                <c:pt idx="73">
                  <c:v>1.4534398872416394</c:v>
                </c:pt>
                <c:pt idx="74">
                  <c:v>1.4992268310280137</c:v>
                </c:pt>
                <c:pt idx="75">
                  <c:v>1.5173042986533243</c:v>
                </c:pt>
                <c:pt idx="76">
                  <c:v>1.568099236299094</c:v>
                </c:pt>
                <c:pt idx="77">
                  <c:v>1.8017768435190367</c:v>
                </c:pt>
                <c:pt idx="78">
                  <c:v>1.8748131251173217</c:v>
                </c:pt>
                <c:pt idx="79">
                  <c:v>1.997636015244356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5-449E-AEDB-E9E8BCDF48DA}"/>
            </c:ext>
          </c:extLst>
        </c:ser>
        <c:ser>
          <c:idx val="3"/>
          <c:order val="3"/>
          <c:tx>
            <c:strRef>
              <c:f>'Appendix Figure A1'!$E$1</c:f>
              <c:strCache>
                <c:ptCount val="1"/>
                <c:pt idx="0">
                  <c:v>adj_mad23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A1'!$E$2:$E$81</c:f>
              <c:numCache>
                <c:formatCode>General</c:formatCode>
                <c:ptCount val="80"/>
                <c:pt idx="0">
                  <c:v>1.0312500000000002</c:v>
                </c:pt>
                <c:pt idx="1">
                  <c:v>0.94791666666666674</c:v>
                </c:pt>
                <c:pt idx="2">
                  <c:v>0.66666666666666663</c:v>
                </c:pt>
                <c:pt idx="3">
                  <c:v>0.59375</c:v>
                </c:pt>
                <c:pt idx="4">
                  <c:v>0.54166666666666674</c:v>
                </c:pt>
                <c:pt idx="5">
                  <c:v>0.59375</c:v>
                </c:pt>
                <c:pt idx="6">
                  <c:v>0.64583333333333337</c:v>
                </c:pt>
                <c:pt idx="7">
                  <c:v>0.67708333333333337</c:v>
                </c:pt>
                <c:pt idx="8">
                  <c:v>0.72916666666666663</c:v>
                </c:pt>
                <c:pt idx="9">
                  <c:v>0.72916666666666663</c:v>
                </c:pt>
                <c:pt idx="10">
                  <c:v>0.71875</c:v>
                </c:pt>
                <c:pt idx="11">
                  <c:v>0.71875</c:v>
                </c:pt>
                <c:pt idx="12">
                  <c:v>0.75000000000000011</c:v>
                </c:pt>
                <c:pt idx="13">
                  <c:v>0.79166666666666663</c:v>
                </c:pt>
                <c:pt idx="14">
                  <c:v>0.71875</c:v>
                </c:pt>
                <c:pt idx="15">
                  <c:v>0.83333333333333337</c:v>
                </c:pt>
                <c:pt idx="16">
                  <c:v>0.80208333333333337</c:v>
                </c:pt>
                <c:pt idx="17">
                  <c:v>0.86458333333333326</c:v>
                </c:pt>
                <c:pt idx="18">
                  <c:v>0.96875</c:v>
                </c:pt>
                <c:pt idx="19">
                  <c:v>0.94791666666666674</c:v>
                </c:pt>
                <c:pt idx="20">
                  <c:v>0.90625</c:v>
                </c:pt>
                <c:pt idx="21">
                  <c:v>0.95833333333333348</c:v>
                </c:pt>
                <c:pt idx="22">
                  <c:v>0.97916666666666663</c:v>
                </c:pt>
                <c:pt idx="23">
                  <c:v>1.0729166666666667</c:v>
                </c:pt>
                <c:pt idx="24">
                  <c:v>0.93750000000000011</c:v>
                </c:pt>
                <c:pt idx="25">
                  <c:v>0.92708333333333337</c:v>
                </c:pt>
                <c:pt idx="26">
                  <c:v>0.92708333333333337</c:v>
                </c:pt>
                <c:pt idx="27">
                  <c:v>0.96875</c:v>
                </c:pt>
                <c:pt idx="28">
                  <c:v>1.0416666666666667</c:v>
                </c:pt>
                <c:pt idx="29">
                  <c:v>1.0104166666666667</c:v>
                </c:pt>
                <c:pt idx="30">
                  <c:v>1</c:v>
                </c:pt>
                <c:pt idx="31">
                  <c:v>0.98958333333333337</c:v>
                </c:pt>
                <c:pt idx="32">
                  <c:v>1.0312500000000002</c:v>
                </c:pt>
                <c:pt idx="33">
                  <c:v>0.91666666666666674</c:v>
                </c:pt>
                <c:pt idx="34">
                  <c:v>0.88541666666666663</c:v>
                </c:pt>
                <c:pt idx="35">
                  <c:v>0.91666666666666674</c:v>
                </c:pt>
                <c:pt idx="36">
                  <c:v>0.93750000000000011</c:v>
                </c:pt>
                <c:pt idx="37">
                  <c:v>0.89583333333333337</c:v>
                </c:pt>
                <c:pt idx="38">
                  <c:v>0.95833333333333348</c:v>
                </c:pt>
                <c:pt idx="39">
                  <c:v>0.92708333333333337</c:v>
                </c:pt>
                <c:pt idx="40">
                  <c:v>0.88541666666666663</c:v>
                </c:pt>
                <c:pt idx="41">
                  <c:v>0.93750000000000011</c:v>
                </c:pt>
                <c:pt idx="42">
                  <c:v>0.88541666666666663</c:v>
                </c:pt>
                <c:pt idx="43">
                  <c:v>0.86458333333333326</c:v>
                </c:pt>
                <c:pt idx="44">
                  <c:v>0.90625</c:v>
                </c:pt>
                <c:pt idx="45">
                  <c:v>0.94791666666666674</c:v>
                </c:pt>
                <c:pt idx="46">
                  <c:v>1.0312500000000002</c:v>
                </c:pt>
                <c:pt idx="47">
                  <c:v>1.0416666666666667</c:v>
                </c:pt>
                <c:pt idx="48">
                  <c:v>1.0729166666666667</c:v>
                </c:pt>
                <c:pt idx="49">
                  <c:v>1.1354166666666667</c:v>
                </c:pt>
                <c:pt idx="50">
                  <c:v>1.1458333333333335</c:v>
                </c:pt>
                <c:pt idx="51">
                  <c:v>1.1145833333333333</c:v>
                </c:pt>
                <c:pt idx="52">
                  <c:v>1.1979166666666665</c:v>
                </c:pt>
                <c:pt idx="53">
                  <c:v>1.1875</c:v>
                </c:pt>
                <c:pt idx="54">
                  <c:v>1.2083333333333335</c:v>
                </c:pt>
                <c:pt idx="55">
                  <c:v>1.2708333333333335</c:v>
                </c:pt>
                <c:pt idx="56">
                  <c:v>1.2916666666666667</c:v>
                </c:pt>
                <c:pt idx="57">
                  <c:v>1.28125</c:v>
                </c:pt>
                <c:pt idx="58">
                  <c:v>1.21875</c:v>
                </c:pt>
                <c:pt idx="59">
                  <c:v>1.2395833333333333</c:v>
                </c:pt>
                <c:pt idx="60">
                  <c:v>1.2291666666666667</c:v>
                </c:pt>
                <c:pt idx="61">
                  <c:v>1.1666666666666667</c:v>
                </c:pt>
                <c:pt idx="62">
                  <c:v>0.98958333333333337</c:v>
                </c:pt>
                <c:pt idx="63">
                  <c:v>0.84375000000000011</c:v>
                </c:pt>
                <c:pt idx="64">
                  <c:v>0.64583333333333337</c:v>
                </c:pt>
                <c:pt idx="65">
                  <c:v>0.64583333333333337</c:v>
                </c:pt>
                <c:pt idx="66">
                  <c:v>0.66666666666666663</c:v>
                </c:pt>
                <c:pt idx="67">
                  <c:v>0.73958333333333337</c:v>
                </c:pt>
                <c:pt idx="68">
                  <c:v>0.76041666666666663</c:v>
                </c:pt>
                <c:pt idx="69">
                  <c:v>0.75000000000000011</c:v>
                </c:pt>
                <c:pt idx="70">
                  <c:v>0.80208333333333337</c:v>
                </c:pt>
                <c:pt idx="71">
                  <c:v>0.85416666666666674</c:v>
                </c:pt>
                <c:pt idx="72">
                  <c:v>0.875</c:v>
                </c:pt>
                <c:pt idx="73">
                  <c:v>0.88541666666666663</c:v>
                </c:pt>
                <c:pt idx="74">
                  <c:v>0.90625</c:v>
                </c:pt>
                <c:pt idx="75">
                  <c:v>0.92708333333333337</c:v>
                </c:pt>
                <c:pt idx="76">
                  <c:v>0.96875</c:v>
                </c:pt>
                <c:pt idx="77">
                  <c:v>1.09375</c:v>
                </c:pt>
                <c:pt idx="78">
                  <c:v>1.1458333333333335</c:v>
                </c:pt>
                <c:pt idx="79">
                  <c:v>1.1666666666666667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9-4102-A813-DA5F68C43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088143"/>
        <c:axId val="1106090063"/>
      </c:lineChart>
      <c:catAx>
        <c:axId val="1106088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90063"/>
        <c:crosses val="autoZero"/>
        <c:auto val="1"/>
        <c:lblAlgn val="ctr"/>
        <c:lblOffset val="100"/>
        <c:noMultiLvlLbl val="0"/>
      </c:catAx>
      <c:valAx>
        <c:axId val="110609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8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A1'!$B$32:$B$62</c:f>
              <c:numCache>
                <c:formatCode>General</c:formatCode>
                <c:ptCount val="31"/>
                <c:pt idx="0">
                  <c:v>1</c:v>
                </c:pt>
                <c:pt idx="1">
                  <c:v>0.99276436660332845</c:v>
                </c:pt>
                <c:pt idx="2">
                  <c:v>0.99187453530507952</c:v>
                </c:pt>
                <c:pt idx="3">
                  <c:v>0.9900891260291278</c:v>
                </c:pt>
                <c:pt idx="4">
                  <c:v>0.98294658159728165</c:v>
                </c:pt>
                <c:pt idx="5">
                  <c:v>0.97220393969932384</c:v>
                </c:pt>
                <c:pt idx="6">
                  <c:v>0.96203549957781198</c:v>
                </c:pt>
                <c:pt idx="7">
                  <c:v>0.99246628274327664</c:v>
                </c:pt>
                <c:pt idx="8">
                  <c:v>1.0874614793705819</c:v>
                </c:pt>
                <c:pt idx="9">
                  <c:v>1.006335215660036</c:v>
                </c:pt>
                <c:pt idx="10">
                  <c:v>0.97776918786945677</c:v>
                </c:pt>
                <c:pt idx="11">
                  <c:v>0.92770601947551901</c:v>
                </c:pt>
                <c:pt idx="12">
                  <c:v>0.98533969357256113</c:v>
                </c:pt>
                <c:pt idx="13">
                  <c:v>1.0139183833791487</c:v>
                </c:pt>
                <c:pt idx="14">
                  <c:v>1.0862527897053287</c:v>
                </c:pt>
                <c:pt idx="15">
                  <c:v>1.1244630549935122</c:v>
                </c:pt>
                <c:pt idx="16">
                  <c:v>1.1632691171293441</c:v>
                </c:pt>
                <c:pt idx="17">
                  <c:v>1.1798802107743751</c:v>
                </c:pt>
                <c:pt idx="18">
                  <c:v>1.2193700676395907</c:v>
                </c:pt>
                <c:pt idx="19">
                  <c:v>1.2819935644731955</c:v>
                </c:pt>
                <c:pt idx="20">
                  <c:v>1.3037333380919833</c:v>
                </c:pt>
                <c:pt idx="21">
                  <c:v>1.2794772488227277</c:v>
                </c:pt>
                <c:pt idx="22">
                  <c:v>1.377667374156424</c:v>
                </c:pt>
                <c:pt idx="23">
                  <c:v>1.3983289659162093</c:v>
                </c:pt>
                <c:pt idx="24">
                  <c:v>1.4251013559571053</c:v>
                </c:pt>
                <c:pt idx="25">
                  <c:v>1.4623600085314721</c:v>
                </c:pt>
                <c:pt idx="26">
                  <c:v>1.4753346199037836</c:v>
                </c:pt>
                <c:pt idx="27">
                  <c:v>1.4649442931966878</c:v>
                </c:pt>
                <c:pt idx="28">
                  <c:v>1.4428278758429978</c:v>
                </c:pt>
                <c:pt idx="29">
                  <c:v>1.4563763782473518</c:v>
                </c:pt>
                <c:pt idx="30">
                  <c:v>1.4470312330194557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A-4073-82BB-14FA7F9F56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A1'!$C$32:$C$62</c:f>
              <c:numCache>
                <c:formatCode>General</c:formatCode>
                <c:ptCount val="31"/>
                <c:pt idx="0">
                  <c:v>1</c:v>
                </c:pt>
                <c:pt idx="1">
                  <c:v>0.99588853357697582</c:v>
                </c:pt>
                <c:pt idx="2">
                  <c:v>1.0205573321151211</c:v>
                </c:pt>
                <c:pt idx="3">
                  <c:v>0.98949291914116033</c:v>
                </c:pt>
                <c:pt idx="4">
                  <c:v>0.9842393787117405</c:v>
                </c:pt>
                <c:pt idx="5">
                  <c:v>1.050251256281407</c:v>
                </c:pt>
                <c:pt idx="6">
                  <c:v>1.0267245317496574</c:v>
                </c:pt>
                <c:pt idx="7">
                  <c:v>1.0591594335312928</c:v>
                </c:pt>
                <c:pt idx="8">
                  <c:v>1.1608040201005025</c:v>
                </c:pt>
                <c:pt idx="9">
                  <c:v>1.0742348104157149</c:v>
                </c:pt>
                <c:pt idx="10">
                  <c:v>1.0436272270443125</c:v>
                </c:pt>
                <c:pt idx="11">
                  <c:v>0.99017816354499777</c:v>
                </c:pt>
                <c:pt idx="12">
                  <c:v>1.0516217450890817</c:v>
                </c:pt>
                <c:pt idx="13">
                  <c:v>1.0822293284604843</c:v>
                </c:pt>
                <c:pt idx="14">
                  <c:v>1.1594335312928277</c:v>
                </c:pt>
                <c:pt idx="15">
                  <c:v>1.2000913659205117</c:v>
                </c:pt>
                <c:pt idx="16">
                  <c:v>1.2416628597533119</c:v>
                </c:pt>
                <c:pt idx="17">
                  <c:v>1.2592507994518045</c:v>
                </c:pt>
                <c:pt idx="18">
                  <c:v>1.3015075376884422</c:v>
                </c:pt>
                <c:pt idx="19">
                  <c:v>1.3682046596619462</c:v>
                </c:pt>
                <c:pt idx="20">
                  <c:v>1.3915029693924166</c:v>
                </c:pt>
                <c:pt idx="21">
                  <c:v>1.3656920968478758</c:v>
                </c:pt>
                <c:pt idx="22">
                  <c:v>1.4705344906349931</c:v>
                </c:pt>
                <c:pt idx="23">
                  <c:v>1.4924623115577889</c:v>
                </c:pt>
                <c:pt idx="24">
                  <c:v>1.5650982183645501</c:v>
                </c:pt>
                <c:pt idx="25">
                  <c:v>1.680219278209228</c:v>
                </c:pt>
                <c:pt idx="26">
                  <c:v>1.7028323435358612</c:v>
                </c:pt>
                <c:pt idx="27">
                  <c:v>1.6884422110552764</c:v>
                </c:pt>
                <c:pt idx="28">
                  <c:v>1.6256281407035176</c:v>
                </c:pt>
                <c:pt idx="29">
                  <c:v>1.6610324349017815</c:v>
                </c:pt>
                <c:pt idx="30">
                  <c:v>1.6601187756966651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A-4073-82BB-14FA7F9F561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A1'!$D$32:$D$62</c:f>
              <c:numCache>
                <c:formatCode>General</c:formatCode>
                <c:ptCount val="31"/>
                <c:pt idx="0">
                  <c:v>1</c:v>
                </c:pt>
                <c:pt idx="1">
                  <c:v>0.99600798403193613</c:v>
                </c:pt>
                <c:pt idx="2">
                  <c:v>1.0206254158349968</c:v>
                </c:pt>
                <c:pt idx="3">
                  <c:v>0.98935462408516306</c:v>
                </c:pt>
                <c:pt idx="4">
                  <c:v>0.98403193612774453</c:v>
                </c:pt>
                <c:pt idx="5">
                  <c:v>1.0505655355954757</c:v>
                </c:pt>
                <c:pt idx="6">
                  <c:v>1.0272787757817698</c:v>
                </c:pt>
                <c:pt idx="7">
                  <c:v>1.0595475715236193</c:v>
                </c:pt>
                <c:pt idx="8">
                  <c:v>1.1606786427145708</c:v>
                </c:pt>
                <c:pt idx="9">
                  <c:v>1.0741849634065204</c:v>
                </c:pt>
                <c:pt idx="10">
                  <c:v>1.0435795076513639</c:v>
                </c:pt>
                <c:pt idx="11">
                  <c:v>0.99001996007984028</c:v>
                </c:pt>
                <c:pt idx="12">
                  <c:v>1.0515635395874916</c:v>
                </c:pt>
                <c:pt idx="13">
                  <c:v>1.0821689953426481</c:v>
                </c:pt>
                <c:pt idx="14">
                  <c:v>1.1596806387225549</c:v>
                </c:pt>
                <c:pt idx="15">
                  <c:v>1.2005988023952097</c:v>
                </c:pt>
                <c:pt idx="16">
                  <c:v>1.241849634065203</c:v>
                </c:pt>
                <c:pt idx="17">
                  <c:v>1.2594810379241517</c:v>
                </c:pt>
                <c:pt idx="18">
                  <c:v>1.3017298735861611</c:v>
                </c:pt>
                <c:pt idx="19">
                  <c:v>1.3685961410512308</c:v>
                </c:pt>
                <c:pt idx="20">
                  <c:v>1.3915502328675982</c:v>
                </c:pt>
                <c:pt idx="21">
                  <c:v>1.3659347970725215</c:v>
                </c:pt>
                <c:pt idx="22">
                  <c:v>1.4703925482368596</c:v>
                </c:pt>
                <c:pt idx="23">
                  <c:v>1.4926813040585496</c:v>
                </c:pt>
                <c:pt idx="24">
                  <c:v>1.5652029274783765</c:v>
                </c:pt>
                <c:pt idx="25">
                  <c:v>1.6803060545575517</c:v>
                </c:pt>
                <c:pt idx="26">
                  <c:v>1.7032601463739188</c:v>
                </c:pt>
                <c:pt idx="27">
                  <c:v>1.6882900864936794</c:v>
                </c:pt>
                <c:pt idx="28">
                  <c:v>1.625748502994012</c:v>
                </c:pt>
                <c:pt idx="29">
                  <c:v>1.6613439787092481</c:v>
                </c:pt>
                <c:pt idx="30">
                  <c:v>1.6603459747172322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7A-4073-82BB-14FA7F9F561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'Appendix Figure A1'!$E$32:$E$62</c:f>
              <c:numCache>
                <c:formatCode>General</c:formatCode>
                <c:ptCount val="31"/>
                <c:pt idx="0">
                  <c:v>1</c:v>
                </c:pt>
                <c:pt idx="1">
                  <c:v>0.98958333333333337</c:v>
                </c:pt>
                <c:pt idx="2">
                  <c:v>1.0312500000000002</c:v>
                </c:pt>
                <c:pt idx="3">
                  <c:v>0.91666666666666674</c:v>
                </c:pt>
                <c:pt idx="4">
                  <c:v>0.88541666666666663</c:v>
                </c:pt>
                <c:pt idx="5">
                  <c:v>0.91666666666666674</c:v>
                </c:pt>
                <c:pt idx="6">
                  <c:v>0.93750000000000011</c:v>
                </c:pt>
                <c:pt idx="7">
                  <c:v>0.89583333333333337</c:v>
                </c:pt>
                <c:pt idx="8">
                  <c:v>0.95833333333333348</c:v>
                </c:pt>
                <c:pt idx="9">
                  <c:v>0.92708333333333337</c:v>
                </c:pt>
                <c:pt idx="10">
                  <c:v>0.88541666666666663</c:v>
                </c:pt>
                <c:pt idx="11">
                  <c:v>0.93750000000000011</c:v>
                </c:pt>
                <c:pt idx="12">
                  <c:v>0.88541666666666663</c:v>
                </c:pt>
                <c:pt idx="13">
                  <c:v>0.86458333333333326</c:v>
                </c:pt>
                <c:pt idx="14">
                  <c:v>0.90625</c:v>
                </c:pt>
                <c:pt idx="15">
                  <c:v>0.94791666666666674</c:v>
                </c:pt>
                <c:pt idx="16">
                  <c:v>1.0312500000000002</c:v>
                </c:pt>
                <c:pt idx="17">
                  <c:v>1.0416666666666667</c:v>
                </c:pt>
                <c:pt idx="18">
                  <c:v>1.0729166666666667</c:v>
                </c:pt>
                <c:pt idx="19">
                  <c:v>1.1354166666666667</c:v>
                </c:pt>
                <c:pt idx="20">
                  <c:v>1.1458333333333335</c:v>
                </c:pt>
                <c:pt idx="21">
                  <c:v>1.1145833333333333</c:v>
                </c:pt>
                <c:pt idx="22">
                  <c:v>1.1979166666666665</c:v>
                </c:pt>
                <c:pt idx="23">
                  <c:v>1.1875</c:v>
                </c:pt>
                <c:pt idx="24">
                  <c:v>1.2083333333333335</c:v>
                </c:pt>
                <c:pt idx="25">
                  <c:v>1.2708333333333335</c:v>
                </c:pt>
                <c:pt idx="26">
                  <c:v>1.2916666666666667</c:v>
                </c:pt>
                <c:pt idx="27">
                  <c:v>1.28125</c:v>
                </c:pt>
                <c:pt idx="28">
                  <c:v>1.21875</c:v>
                </c:pt>
                <c:pt idx="29">
                  <c:v>1.2395833333333333</c:v>
                </c:pt>
                <c:pt idx="30">
                  <c:v>1.2291666666666667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7A-4073-82BB-14FA7F9F5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163791"/>
        <c:axId val="1061170511"/>
      </c:lineChart>
      <c:catAx>
        <c:axId val="106116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70511"/>
        <c:crosses val="autoZero"/>
        <c:auto val="1"/>
        <c:lblAlgn val="ctr"/>
        <c:lblOffset val="100"/>
        <c:noMultiLvlLbl val="0"/>
      </c:catAx>
      <c:valAx>
        <c:axId val="10611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6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'NTL Calculations'!$A$2</c:f>
              <c:strCache>
                <c:ptCount val="1"/>
                <c:pt idx="0">
                  <c:v>GDPPCUNADJ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'NTL Calculations'!$A$3:$A$22</c:f>
              <c:numCache>
                <c:formatCode>General</c:formatCode>
                <c:ptCount val="20"/>
                <c:pt idx="0">
                  <c:v>2828.8690000000001</c:v>
                </c:pt>
                <c:pt idx="1">
                  <c:v>2393.819</c:v>
                </c:pt>
                <c:pt idx="2">
                  <c:v>2398.2890000000002</c:v>
                </c:pt>
                <c:pt idx="3">
                  <c:v>2445.2640000000001</c:v>
                </c:pt>
                <c:pt idx="4">
                  <c:v>2625.2359999999999</c:v>
                </c:pt>
                <c:pt idx="5">
                  <c:v>2687.7049999999999</c:v>
                </c:pt>
                <c:pt idx="6">
                  <c:v>2682.2379999999998</c:v>
                </c:pt>
                <c:pt idx="7">
                  <c:v>2838.6390000000001</c:v>
                </c:pt>
                <c:pt idx="8">
                  <c:v>2996.6260000000002</c:v>
                </c:pt>
                <c:pt idx="9">
                  <c:v>3081.7350000000001</c:v>
                </c:pt>
                <c:pt idx="10">
                  <c:v>3115.5410000000002</c:v>
                </c:pt>
                <c:pt idx="11">
                  <c:v>3223.94</c:v>
                </c:pt>
                <c:pt idx="12">
                  <c:v>3401.6930000000002</c:v>
                </c:pt>
                <c:pt idx="13">
                  <c:v>3776.4720000000002</c:v>
                </c:pt>
                <c:pt idx="14">
                  <c:v>4228.7539999999999</c:v>
                </c:pt>
                <c:pt idx="15">
                  <c:v>4535.6189999999997</c:v>
                </c:pt>
                <c:pt idx="16">
                  <c:v>4724.567</c:v>
                </c:pt>
                <c:pt idx="17">
                  <c:v>4796.2280000000001</c:v>
                </c:pt>
                <c:pt idx="18">
                  <c:v>4913.8459999999995</c:v>
                </c:pt>
                <c:pt idx="19">
                  <c:v>5049.585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D-4904-B08A-1699A67AA72D}"/>
            </c:ext>
          </c:extLst>
        </c:ser>
        <c:ser>
          <c:idx val="1"/>
          <c:order val="1"/>
          <c:tx>
            <c:strRef>
              <c:f>'NTL Calculations'!$B$2</c:f>
              <c:strCache>
                <c:ptCount val="1"/>
                <c:pt idx="0">
                  <c:v>GDPPCADJ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'NTL Calculations'!$B$3:$B$22</c:f>
              <c:numCache>
                <c:formatCode>General</c:formatCode>
                <c:ptCount val="20"/>
                <c:pt idx="0">
                  <c:v>1783.598</c:v>
                </c:pt>
                <c:pt idx="1">
                  <c:v>1509.3</c:v>
                </c:pt>
                <c:pt idx="2">
                  <c:v>1512.117</c:v>
                </c:pt>
                <c:pt idx="3">
                  <c:v>1541.7349999999999</c:v>
                </c:pt>
                <c:pt idx="4">
                  <c:v>1655.2080000000001</c:v>
                </c:pt>
                <c:pt idx="5">
                  <c:v>1694.5940000000001</c:v>
                </c:pt>
                <c:pt idx="6">
                  <c:v>1691.1479999999999</c:v>
                </c:pt>
                <c:pt idx="7">
                  <c:v>1789.7570000000001</c:v>
                </c:pt>
                <c:pt idx="8">
                  <c:v>1889.367</c:v>
                </c:pt>
                <c:pt idx="9">
                  <c:v>1943.029</c:v>
                </c:pt>
                <c:pt idx="10">
                  <c:v>1964.3430000000001</c:v>
                </c:pt>
                <c:pt idx="11">
                  <c:v>2032.69</c:v>
                </c:pt>
                <c:pt idx="12">
                  <c:v>2144.761</c:v>
                </c:pt>
                <c:pt idx="13">
                  <c:v>2381.0590000000002</c:v>
                </c:pt>
                <c:pt idx="14">
                  <c:v>2666.223</c:v>
                </c:pt>
                <c:pt idx="15">
                  <c:v>2859.7020000000002</c:v>
                </c:pt>
                <c:pt idx="16">
                  <c:v>3073.473</c:v>
                </c:pt>
                <c:pt idx="17">
                  <c:v>3120.09</c:v>
                </c:pt>
                <c:pt idx="18">
                  <c:v>3196.6039999999998</c:v>
                </c:pt>
                <c:pt idx="19">
                  <c:v>3284.9070000000002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D-4904-B08A-1699A67A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878960"/>
        <c:axId val="396880880"/>
      </c:lineChart>
      <c:catAx>
        <c:axId val="39687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80880"/>
        <c:crosses val="autoZero"/>
        <c:auto val="1"/>
        <c:lblAlgn val="ctr"/>
        <c:lblOffset val="100"/>
        <c:noMultiLvlLbl val="0"/>
      </c:catAx>
      <c:valAx>
        <c:axId val="3968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8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</a:t>
            </a:r>
            <a:r>
              <a:rPr lang="en-US" baseline="0"/>
              <a:t> 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'NTL Calculations'!$E$3:$E$19</c:f>
              <c:numCache>
                <c:formatCode>General</c:formatCode>
                <c:ptCount val="17"/>
                <c:pt idx="0">
                  <c:v>1.1135852853737187</c:v>
                </c:pt>
                <c:pt idx="1">
                  <c:v>0.94232796359636739</c:v>
                </c:pt>
                <c:pt idx="2">
                  <c:v>0.94408675102991335</c:v>
                </c:pt>
                <c:pt idx="3">
                  <c:v>0.96257868081577247</c:v>
                </c:pt>
                <c:pt idx="4">
                  <c:v>1.0334252858731969</c:v>
                </c:pt>
                <c:pt idx="5">
                  <c:v>1.0580158438631304</c:v>
                </c:pt>
                <c:pt idx="6">
                  <c:v>1.055864341734625</c:v>
                </c:pt>
                <c:pt idx="7">
                  <c:v>1.1174306427763492</c:v>
                </c:pt>
                <c:pt idx="8">
                  <c:v>1.1796219158524999</c:v>
                </c:pt>
                <c:pt idx="9">
                  <c:v>1.2131256614183306</c:v>
                </c:pt>
                <c:pt idx="10">
                  <c:v>1.2264330080135024</c:v>
                </c:pt>
                <c:pt idx="11">
                  <c:v>1.269105299359107</c:v>
                </c:pt>
                <c:pt idx="12">
                  <c:v>1.3390765689597222</c:v>
                </c:pt>
                <c:pt idx="13">
                  <c:v>1.4866086786409616</c:v>
                </c:pt>
                <c:pt idx="14">
                  <c:v>1.6646501623824272</c:v>
                </c:pt>
                <c:pt idx="15">
                  <c:v>1.7854483284651557</c:v>
                </c:pt>
                <c:pt idx="16">
                  <c:v>1.9189157578072074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9-420E-8D8F-7D8ADFA003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'NTL Calculations'!$G$3:$G$19</c:f>
              <c:numCache>
                <c:formatCode>General</c:formatCode>
                <c:ptCount val="17"/>
                <c:pt idx="0">
                  <c:v>1.1853658536585363</c:v>
                </c:pt>
                <c:pt idx="1">
                  <c:v>0.90731707317073162</c:v>
                </c:pt>
                <c:pt idx="2">
                  <c:v>0.90731707317073162</c:v>
                </c:pt>
                <c:pt idx="3">
                  <c:v>0.93658536585365826</c:v>
                </c:pt>
                <c:pt idx="4">
                  <c:v>1.0390243902439023</c:v>
                </c:pt>
                <c:pt idx="5">
                  <c:v>1.0682926829268291</c:v>
                </c:pt>
                <c:pt idx="6">
                  <c:v>1.0536585365853659</c:v>
                </c:pt>
                <c:pt idx="7">
                  <c:v>1.1268292682926828</c:v>
                </c:pt>
                <c:pt idx="8">
                  <c:v>1.2</c:v>
                </c:pt>
                <c:pt idx="9">
                  <c:v>1.2292682926829266</c:v>
                </c:pt>
                <c:pt idx="10">
                  <c:v>1.24390243902439</c:v>
                </c:pt>
                <c:pt idx="11">
                  <c:v>1.2731707317073169</c:v>
                </c:pt>
                <c:pt idx="12">
                  <c:v>1.3024390243902437</c:v>
                </c:pt>
                <c:pt idx="13">
                  <c:v>1.3609756097560972</c:v>
                </c:pt>
                <c:pt idx="14">
                  <c:v>1.5365853658536583</c:v>
                </c:pt>
                <c:pt idx="15">
                  <c:v>1.6097560975609755</c:v>
                </c:pt>
                <c:pt idx="16">
                  <c:v>1.6390243902439023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9-420E-8D8F-7D8ADFA003D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'NTL Calculations'!$I$3:$I$19</c:f>
              <c:numCache>
                <c:formatCode>General</c:formatCode>
                <c:ptCount val="17"/>
                <c:pt idx="0">
                  <c:v>1.1669652904833425</c:v>
                </c:pt>
                <c:pt idx="1">
                  <c:v>0.91211844991190905</c:v>
                </c:pt>
                <c:pt idx="2">
                  <c:v>0.9209162596047481</c:v>
                </c:pt>
                <c:pt idx="3">
                  <c:v>0.98189384594719176</c:v>
                </c:pt>
                <c:pt idx="4">
                  <c:v>1.115367931566474</c:v>
                </c:pt>
                <c:pt idx="5">
                  <c:v>1.1757509346886659</c:v>
                </c:pt>
                <c:pt idx="6">
                  <c:v>1.1723129695500545</c:v>
                </c:pt>
                <c:pt idx="7">
                  <c:v>1.2437217376913372</c:v>
                </c:pt>
                <c:pt idx="8">
                  <c:v>1.3761202990293708</c:v>
                </c:pt>
                <c:pt idx="9">
                  <c:v>1.4523115521641528</c:v>
                </c:pt>
                <c:pt idx="10">
                  <c:v>1.4995797889580254</c:v>
                </c:pt>
                <c:pt idx="11">
                  <c:v>1.5468202535296358</c:v>
                </c:pt>
                <c:pt idx="12">
                  <c:v>1.5654715959927257</c:v>
                </c:pt>
                <c:pt idx="13">
                  <c:v>1.6178790347479246</c:v>
                </c:pt>
                <c:pt idx="14">
                  <c:v>1.8589748103593446</c:v>
                </c:pt>
                <c:pt idx="15">
                  <c:v>1.9343296514551749</c:v>
                </c:pt>
                <c:pt idx="16">
                  <c:v>2.0610515924674431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9-420E-8D8F-7D8ADFA0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776720"/>
        <c:axId val="396774320"/>
      </c:lineChart>
      <c:catAx>
        <c:axId val="396776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74320"/>
        <c:crosses val="autoZero"/>
        <c:auto val="1"/>
        <c:lblAlgn val="ctr"/>
        <c:lblOffset val="100"/>
        <c:noMultiLvlLbl val="0"/>
      </c:catAx>
      <c:valAx>
        <c:axId val="3967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7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4</xdr:row>
      <xdr:rowOff>109537</xdr:rowOff>
    </xdr:from>
    <xdr:to>
      <xdr:col>16</xdr:col>
      <xdr:colOff>28575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50D49-7177-C61C-6E2A-8D1EA7330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5</xdr:row>
      <xdr:rowOff>109537</xdr:rowOff>
    </xdr:from>
    <xdr:to>
      <xdr:col>20</xdr:col>
      <xdr:colOff>323850</xdr:colOff>
      <xdr:row>19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E1692-FC72-890E-706F-BBD738E06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52</xdr:row>
      <xdr:rowOff>52387</xdr:rowOff>
    </xdr:from>
    <xdr:to>
      <xdr:col>15</xdr:col>
      <xdr:colOff>533400</xdr:colOff>
      <xdr:row>66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4AE17-B6C9-CC96-F6D3-DF9B3E3B1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0</xdr:row>
      <xdr:rowOff>0</xdr:rowOff>
    </xdr:from>
    <xdr:to>
      <xdr:col>19</xdr:col>
      <xdr:colOff>104775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30B56-EA57-4A9D-9F49-A68AD65E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14</xdr:row>
      <xdr:rowOff>185737</xdr:rowOff>
    </xdr:from>
    <xdr:to>
      <xdr:col>19</xdr:col>
      <xdr:colOff>76200</xdr:colOff>
      <xdr:row>29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C7D4F2-3625-EB07-6946-3AC41C7D9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1B4E-2ADA-4AE6-97B9-F497A8D524DD}">
  <dimension ref="A1:E81"/>
  <sheetViews>
    <sheetView topLeftCell="A41" workbookViewId="0">
      <selection activeCell="E50" sqref="E50"/>
    </sheetView>
  </sheetViews>
  <sheetFormatPr baseColWidth="10" defaultColWidth="8.83203125" defaultRowHeight="15" x14ac:dyDescent="0.2"/>
  <cols>
    <col min="5" max="5" width="17.83203125" bestFit="1" customWidth="1"/>
  </cols>
  <sheetData>
    <row r="1" spans="1:5" x14ac:dyDescent="0.2">
      <c r="A1" t="s">
        <v>0</v>
      </c>
      <c r="B1" t="s">
        <v>33</v>
      </c>
      <c r="C1" t="s">
        <v>34</v>
      </c>
      <c r="D1" t="s">
        <v>35</v>
      </c>
      <c r="E1" t="s">
        <v>32</v>
      </c>
    </row>
    <row r="2" spans="1:5" x14ac:dyDescent="0.2">
      <c r="A2">
        <v>1929</v>
      </c>
      <c r="B2">
        <v>0.79285237944151621</v>
      </c>
      <c r="C2">
        <v>0.83439926907263595</v>
      </c>
      <c r="D2">
        <v>0.8339986693280107</v>
      </c>
      <c r="E2">
        <v>1.0312500000000002</v>
      </c>
    </row>
    <row r="3" spans="1:5" x14ac:dyDescent="0.2">
      <c r="A3">
        <v>1930</v>
      </c>
      <c r="B3">
        <v>0.72833194080647135</v>
      </c>
      <c r="C3">
        <v>0.79122887163088174</v>
      </c>
      <c r="D3">
        <v>0.79108449767132405</v>
      </c>
      <c r="E3">
        <v>0.94791666666666674</v>
      </c>
    </row>
    <row r="4" spans="1:5" x14ac:dyDescent="0.2">
      <c r="A4">
        <v>1931</v>
      </c>
      <c r="B4">
        <v>0.60052003992230008</v>
      </c>
      <c r="C4">
        <v>0.58497030607583367</v>
      </c>
      <c r="D4">
        <v>0.58483033932135731</v>
      </c>
      <c r="E4">
        <v>0.66666666666666663</v>
      </c>
    </row>
    <row r="5" spans="1:5" x14ac:dyDescent="0.2">
      <c r="A5">
        <v>1932</v>
      </c>
      <c r="B5">
        <v>0.4729013875737122</v>
      </c>
      <c r="C5">
        <v>0.54179990863407945</v>
      </c>
      <c r="D5">
        <v>0.54191616766467066</v>
      </c>
      <c r="E5">
        <v>0.59375</v>
      </c>
    </row>
    <row r="6" spans="1:5" x14ac:dyDescent="0.2">
      <c r="A6">
        <v>1933</v>
      </c>
      <c r="B6">
        <v>0.50206436368308371</v>
      </c>
      <c r="C6">
        <v>0.51598903608953861</v>
      </c>
      <c r="D6">
        <v>0.51596806387225547</v>
      </c>
      <c r="E6">
        <v>0.54166666666666674</v>
      </c>
    </row>
    <row r="7" spans="1:5" x14ac:dyDescent="0.2">
      <c r="A7">
        <v>1934</v>
      </c>
      <c r="B7">
        <v>0.57867955782350466</v>
      </c>
      <c r="C7">
        <v>0.55915943353129283</v>
      </c>
      <c r="D7">
        <v>0.55888223552894212</v>
      </c>
      <c r="E7">
        <v>0.59375</v>
      </c>
    </row>
    <row r="8" spans="1:5" x14ac:dyDescent="0.2">
      <c r="A8">
        <v>1935</v>
      </c>
      <c r="B8">
        <v>0.6634483848888556</v>
      </c>
      <c r="C8">
        <v>0.60210141617176793</v>
      </c>
      <c r="D8">
        <v>0.60179640718562877</v>
      </c>
      <c r="E8">
        <v>0.64583333333333337</v>
      </c>
    </row>
    <row r="9" spans="1:5" x14ac:dyDescent="0.2">
      <c r="A9">
        <v>1936</v>
      </c>
      <c r="B9">
        <v>0.76111211485623309</v>
      </c>
      <c r="C9">
        <v>0.63636363636363635</v>
      </c>
      <c r="D9">
        <v>0.63639387890884902</v>
      </c>
      <c r="E9">
        <v>0.67708333333333337</v>
      </c>
    </row>
    <row r="10" spans="1:5" x14ac:dyDescent="0.2">
      <c r="A10">
        <v>1937</v>
      </c>
      <c r="B10">
        <v>0.8609465596224094</v>
      </c>
      <c r="C10">
        <v>0.67953403380539057</v>
      </c>
      <c r="D10">
        <v>0.67930805056553556</v>
      </c>
      <c r="E10">
        <v>0.72916666666666663</v>
      </c>
    </row>
    <row r="11" spans="1:5" x14ac:dyDescent="0.2">
      <c r="A11">
        <v>1938</v>
      </c>
      <c r="B11">
        <v>0.65690917941641047</v>
      </c>
      <c r="C11">
        <v>0.68798538145271815</v>
      </c>
      <c r="D11">
        <v>0.68829008649367929</v>
      </c>
      <c r="E11">
        <v>0.72916666666666663</v>
      </c>
    </row>
    <row r="12" spans="1:5" x14ac:dyDescent="0.2">
      <c r="A12">
        <v>1939</v>
      </c>
      <c r="B12">
        <v>0.68265725445419534</v>
      </c>
      <c r="C12">
        <v>0.67953403380539057</v>
      </c>
      <c r="D12">
        <v>0.67930805056553556</v>
      </c>
      <c r="E12">
        <v>0.71875</v>
      </c>
    </row>
    <row r="13" spans="1:5" x14ac:dyDescent="0.2">
      <c r="A13">
        <v>1940</v>
      </c>
      <c r="B13">
        <v>0.58449704682657444</v>
      </c>
      <c r="C13">
        <v>0.68798538145271815</v>
      </c>
      <c r="D13">
        <v>0.68829008649367929</v>
      </c>
      <c r="E13">
        <v>0.71875</v>
      </c>
    </row>
    <row r="14" spans="1:5" x14ac:dyDescent="0.2">
      <c r="A14">
        <v>1941</v>
      </c>
      <c r="B14">
        <v>0.77350378000697495</v>
      </c>
      <c r="C14">
        <v>0.73115577889447236</v>
      </c>
      <c r="D14">
        <v>0.73120425815036594</v>
      </c>
      <c r="E14">
        <v>0.75000000000000011</v>
      </c>
    </row>
    <row r="15" spans="1:5" x14ac:dyDescent="0.2">
      <c r="A15">
        <v>1942</v>
      </c>
      <c r="B15">
        <v>0.63914280855369576</v>
      </c>
      <c r="C15">
        <v>0.73115577889447236</v>
      </c>
      <c r="D15">
        <v>0.73120425815036594</v>
      </c>
      <c r="E15">
        <v>0.79166666666666663</v>
      </c>
    </row>
    <row r="16" spans="1:5" x14ac:dyDescent="0.2">
      <c r="A16">
        <v>1943</v>
      </c>
      <c r="B16">
        <v>0.69745007467921305</v>
      </c>
      <c r="C16">
        <v>0.68798538145271815</v>
      </c>
      <c r="D16">
        <v>0.68829008649367929</v>
      </c>
      <c r="E16">
        <v>0.71875</v>
      </c>
    </row>
    <row r="17" spans="1:5" x14ac:dyDescent="0.2">
      <c r="A17">
        <v>1944</v>
      </c>
      <c r="B17">
        <v>0.78895734837901454</v>
      </c>
      <c r="C17">
        <v>0.75696665143901321</v>
      </c>
      <c r="D17">
        <v>0.75681969394544246</v>
      </c>
      <c r="E17">
        <v>0.83333333333333337</v>
      </c>
    </row>
    <row r="18" spans="1:5" x14ac:dyDescent="0.2">
      <c r="A18">
        <v>1945</v>
      </c>
      <c r="B18">
        <v>0.85926165043213532</v>
      </c>
      <c r="C18">
        <v>0.75696665143901321</v>
      </c>
      <c r="D18">
        <v>0.75681969394544246</v>
      </c>
      <c r="E18">
        <v>0.80208333333333337</v>
      </c>
    </row>
    <row r="19" spans="1:5" x14ac:dyDescent="0.2">
      <c r="A19">
        <v>1946</v>
      </c>
      <c r="B19">
        <v>0.91610131886242108</v>
      </c>
      <c r="C19">
        <v>0.79990863407948831</v>
      </c>
      <c r="D19">
        <v>0.80006653359946778</v>
      </c>
      <c r="E19">
        <v>0.86458333333333326</v>
      </c>
    </row>
    <row r="20" spans="1:5" x14ac:dyDescent="0.2">
      <c r="A20">
        <v>1947</v>
      </c>
      <c r="B20">
        <v>1.0259815763313671</v>
      </c>
      <c r="C20">
        <v>0.85153037916857011</v>
      </c>
      <c r="D20">
        <v>0.85163007318695938</v>
      </c>
      <c r="E20">
        <v>0.96875</v>
      </c>
    </row>
    <row r="21" spans="1:5" x14ac:dyDescent="0.2">
      <c r="A21">
        <v>1948</v>
      </c>
      <c r="B21">
        <v>0.8914325573637788</v>
      </c>
      <c r="C21">
        <v>0.83439926907263595</v>
      </c>
      <c r="D21">
        <v>0.8339986693280107</v>
      </c>
      <c r="E21">
        <v>0.94791666666666674</v>
      </c>
    </row>
    <row r="22" spans="1:5" x14ac:dyDescent="0.2">
      <c r="A22">
        <v>1949</v>
      </c>
      <c r="B22">
        <v>0.94745058399632265</v>
      </c>
      <c r="C22">
        <v>0.82571950662402926</v>
      </c>
      <c r="D22">
        <v>0.82568196939454419</v>
      </c>
      <c r="E22">
        <v>0.90625</v>
      </c>
    </row>
    <row r="23" spans="1:5" x14ac:dyDescent="0.2">
      <c r="A23">
        <v>1950</v>
      </c>
      <c r="B23">
        <v>0.99002804032843295</v>
      </c>
      <c r="C23">
        <v>0.87734125171311106</v>
      </c>
      <c r="D23">
        <v>0.87757817697937457</v>
      </c>
      <c r="E23">
        <v>0.95833333333333348</v>
      </c>
    </row>
    <row r="24" spans="1:5" x14ac:dyDescent="0.2">
      <c r="A24">
        <v>1951</v>
      </c>
      <c r="B24">
        <v>1.052607507432725</v>
      </c>
      <c r="C24">
        <v>0.88579259936043853</v>
      </c>
      <c r="D24">
        <v>0.88622754491017963</v>
      </c>
      <c r="E24">
        <v>0.97916666666666663</v>
      </c>
    </row>
    <row r="25" spans="1:5" x14ac:dyDescent="0.2">
      <c r="A25">
        <v>1952</v>
      </c>
      <c r="B25">
        <v>1.0676378879551935</v>
      </c>
      <c r="C25">
        <v>0.94609410689812701</v>
      </c>
      <c r="D25">
        <v>0.94610778443113774</v>
      </c>
      <c r="E25">
        <v>1.0729166666666667</v>
      </c>
    </row>
    <row r="26" spans="1:5" x14ac:dyDescent="0.2">
      <c r="A26">
        <v>1953</v>
      </c>
      <c r="B26">
        <v>0.91945993453013819</v>
      </c>
      <c r="C26">
        <v>0.86866148926450437</v>
      </c>
      <c r="D26">
        <v>0.86859614105123084</v>
      </c>
      <c r="E26">
        <v>0.93750000000000011</v>
      </c>
    </row>
    <row r="27" spans="1:5" x14ac:dyDescent="0.2">
      <c r="A27">
        <v>1954</v>
      </c>
      <c r="B27">
        <v>0.94672346463484103</v>
      </c>
      <c r="C27">
        <v>0.86866148926450437</v>
      </c>
      <c r="D27">
        <v>0.86859614105123084</v>
      </c>
      <c r="E27">
        <v>0.92708333333333337</v>
      </c>
    </row>
    <row r="28" spans="1:5" x14ac:dyDescent="0.2">
      <c r="A28">
        <v>1955</v>
      </c>
      <c r="B28">
        <v>0.97007286871378573</v>
      </c>
      <c r="C28">
        <v>0.87734125171311106</v>
      </c>
      <c r="D28">
        <v>0.87757817697937457</v>
      </c>
      <c r="E28">
        <v>0.92708333333333337</v>
      </c>
    </row>
    <row r="29" spans="1:5" x14ac:dyDescent="0.2">
      <c r="A29">
        <v>1956</v>
      </c>
      <c r="B29">
        <v>1.0375765793734597</v>
      </c>
      <c r="C29">
        <v>0.91160347190497948</v>
      </c>
      <c r="D29">
        <v>0.91151031270791749</v>
      </c>
      <c r="E29">
        <v>0.96875</v>
      </c>
    </row>
    <row r="30" spans="1:5" x14ac:dyDescent="0.2">
      <c r="A30">
        <v>1957</v>
      </c>
      <c r="B30">
        <v>1.1642694023713149</v>
      </c>
      <c r="C30">
        <v>0.97190497944266785</v>
      </c>
      <c r="D30">
        <v>0.97205588822355293</v>
      </c>
      <c r="E30">
        <v>1.0416666666666667</v>
      </c>
    </row>
    <row r="31" spans="1:5" x14ac:dyDescent="0.2">
      <c r="A31">
        <v>1958</v>
      </c>
      <c r="B31">
        <v>1.1432142622961556</v>
      </c>
      <c r="C31">
        <v>0.97190497944266785</v>
      </c>
      <c r="D31">
        <v>0.97205588822355293</v>
      </c>
      <c r="E31">
        <v>1.0104166666666667</v>
      </c>
    </row>
    <row r="32" spans="1:5" x14ac:dyDescent="0.2">
      <c r="A32">
        <v>1959</v>
      </c>
      <c r="B32">
        <v>1</v>
      </c>
      <c r="C32">
        <v>1</v>
      </c>
      <c r="D32">
        <v>1</v>
      </c>
      <c r="E32">
        <v>1</v>
      </c>
    </row>
    <row r="33" spans="1:5" x14ac:dyDescent="0.2">
      <c r="A33">
        <v>1960</v>
      </c>
      <c r="B33">
        <v>0.99276436660332845</v>
      </c>
      <c r="C33">
        <v>0.99588853357697582</v>
      </c>
      <c r="D33">
        <v>0.99600798403193613</v>
      </c>
      <c r="E33">
        <v>0.98958333333333337</v>
      </c>
    </row>
    <row r="34" spans="1:5" x14ac:dyDescent="0.2">
      <c r="A34">
        <v>1961</v>
      </c>
      <c r="B34">
        <v>0.99187453530507952</v>
      </c>
      <c r="C34">
        <v>1.0205573321151211</v>
      </c>
      <c r="D34">
        <v>1.0206254158349968</v>
      </c>
      <c r="E34">
        <v>1.0312500000000002</v>
      </c>
    </row>
    <row r="35" spans="1:5" x14ac:dyDescent="0.2">
      <c r="A35">
        <v>1962</v>
      </c>
      <c r="B35">
        <v>0.9900891260291278</v>
      </c>
      <c r="C35">
        <v>0.98949291914116033</v>
      </c>
      <c r="D35">
        <v>0.98935462408516306</v>
      </c>
      <c r="E35">
        <v>0.91666666666666674</v>
      </c>
    </row>
    <row r="36" spans="1:5" x14ac:dyDescent="0.2">
      <c r="A36">
        <v>1963</v>
      </c>
      <c r="B36">
        <v>0.98294658159728165</v>
      </c>
      <c r="C36">
        <v>0.9842393787117405</v>
      </c>
      <c r="D36">
        <v>0.98403193612774453</v>
      </c>
      <c r="E36">
        <v>0.88541666666666663</v>
      </c>
    </row>
    <row r="37" spans="1:5" x14ac:dyDescent="0.2">
      <c r="A37">
        <v>1964</v>
      </c>
      <c r="B37">
        <v>0.97220393969932384</v>
      </c>
      <c r="C37">
        <v>1.050251256281407</v>
      </c>
      <c r="D37">
        <v>1.0505655355954757</v>
      </c>
      <c r="E37">
        <v>0.91666666666666674</v>
      </c>
    </row>
    <row r="38" spans="1:5" x14ac:dyDescent="0.2">
      <c r="A38">
        <v>1965</v>
      </c>
      <c r="B38">
        <v>0.96203549957781198</v>
      </c>
      <c r="C38">
        <v>1.0267245317496574</v>
      </c>
      <c r="D38">
        <v>1.0272787757817698</v>
      </c>
      <c r="E38">
        <v>0.93750000000000011</v>
      </c>
    </row>
    <row r="39" spans="1:5" x14ac:dyDescent="0.2">
      <c r="A39">
        <v>1966</v>
      </c>
      <c r="B39">
        <v>0.99246628274327664</v>
      </c>
      <c r="C39">
        <v>1.0591594335312928</v>
      </c>
      <c r="D39">
        <v>1.0595475715236193</v>
      </c>
      <c r="E39">
        <v>0.89583333333333337</v>
      </c>
    </row>
    <row r="40" spans="1:5" x14ac:dyDescent="0.2">
      <c r="A40">
        <v>1967</v>
      </c>
      <c r="B40">
        <v>1.0874614793705819</v>
      </c>
      <c r="C40">
        <v>1.1608040201005025</v>
      </c>
      <c r="D40">
        <v>1.1606786427145708</v>
      </c>
      <c r="E40">
        <v>0.95833333333333348</v>
      </c>
    </row>
    <row r="41" spans="1:5" x14ac:dyDescent="0.2">
      <c r="A41">
        <v>1968</v>
      </c>
      <c r="B41">
        <v>1.006335215660036</v>
      </c>
      <c r="C41">
        <v>1.0742348104157149</v>
      </c>
      <c r="D41">
        <v>1.0741849634065204</v>
      </c>
      <c r="E41">
        <v>0.92708333333333337</v>
      </c>
    </row>
    <row r="42" spans="1:5" x14ac:dyDescent="0.2">
      <c r="A42">
        <v>1969</v>
      </c>
      <c r="B42">
        <v>0.97776918786945677</v>
      </c>
      <c r="C42">
        <v>1.0436272270443125</v>
      </c>
      <c r="D42">
        <v>1.0435795076513639</v>
      </c>
      <c r="E42">
        <v>0.88541666666666663</v>
      </c>
    </row>
    <row r="43" spans="1:5" x14ac:dyDescent="0.2">
      <c r="A43">
        <v>1970</v>
      </c>
      <c r="B43">
        <v>0.92770601947551901</v>
      </c>
      <c r="C43">
        <v>0.99017816354499777</v>
      </c>
      <c r="D43">
        <v>0.99001996007984028</v>
      </c>
      <c r="E43">
        <v>0.93750000000000011</v>
      </c>
    </row>
    <row r="44" spans="1:5" x14ac:dyDescent="0.2">
      <c r="A44">
        <v>1971</v>
      </c>
      <c r="B44">
        <v>0.98533969357256113</v>
      </c>
      <c r="C44">
        <v>1.0516217450890817</v>
      </c>
      <c r="D44">
        <v>1.0515635395874916</v>
      </c>
      <c r="E44">
        <v>0.88541666666666663</v>
      </c>
    </row>
    <row r="45" spans="1:5" x14ac:dyDescent="0.2">
      <c r="A45">
        <v>1972</v>
      </c>
      <c r="B45">
        <v>1.0139183833791487</v>
      </c>
      <c r="C45">
        <v>1.0822293284604843</v>
      </c>
      <c r="D45">
        <v>1.0821689953426481</v>
      </c>
      <c r="E45">
        <v>0.86458333333333326</v>
      </c>
    </row>
    <row r="46" spans="1:5" x14ac:dyDescent="0.2">
      <c r="A46">
        <v>1973</v>
      </c>
      <c r="B46">
        <v>1.0862527897053287</v>
      </c>
      <c r="C46">
        <v>1.1594335312928277</v>
      </c>
      <c r="D46">
        <v>1.1596806387225549</v>
      </c>
      <c r="E46">
        <v>0.90625</v>
      </c>
    </row>
    <row r="47" spans="1:5" x14ac:dyDescent="0.2">
      <c r="A47">
        <v>1974</v>
      </c>
      <c r="B47">
        <v>1.1244630549935122</v>
      </c>
      <c r="C47">
        <v>1.2000913659205117</v>
      </c>
      <c r="D47">
        <v>1.2005988023952097</v>
      </c>
      <c r="E47">
        <v>0.94791666666666674</v>
      </c>
    </row>
    <row r="48" spans="1:5" x14ac:dyDescent="0.2">
      <c r="A48">
        <v>1975</v>
      </c>
      <c r="B48">
        <v>1.1632691171293441</v>
      </c>
      <c r="C48">
        <v>1.2416628597533119</v>
      </c>
      <c r="D48">
        <v>1.241849634065203</v>
      </c>
      <c r="E48">
        <v>1.0312500000000002</v>
      </c>
    </row>
    <row r="49" spans="1:5" x14ac:dyDescent="0.2">
      <c r="A49">
        <v>1976</v>
      </c>
      <c r="B49">
        <v>1.1798802107743751</v>
      </c>
      <c r="C49">
        <v>1.2592507994518045</v>
      </c>
      <c r="D49">
        <v>1.2594810379241517</v>
      </c>
      <c r="E49">
        <v>1.0416666666666667</v>
      </c>
    </row>
    <row r="50" spans="1:5" x14ac:dyDescent="0.2">
      <c r="A50">
        <v>1977</v>
      </c>
      <c r="B50">
        <v>1.2193700676395907</v>
      </c>
      <c r="C50">
        <v>1.3015075376884422</v>
      </c>
      <c r="D50">
        <v>1.3017298735861611</v>
      </c>
      <c r="E50">
        <v>1.0729166666666667</v>
      </c>
    </row>
    <row r="51" spans="1:5" x14ac:dyDescent="0.2">
      <c r="A51">
        <v>1978</v>
      </c>
      <c r="B51">
        <v>1.2819935644731955</v>
      </c>
      <c r="C51">
        <v>1.3682046596619462</v>
      </c>
      <c r="D51">
        <v>1.3685961410512308</v>
      </c>
      <c r="E51">
        <v>1.1354166666666667</v>
      </c>
    </row>
    <row r="52" spans="1:5" x14ac:dyDescent="0.2">
      <c r="A52">
        <v>1979</v>
      </c>
      <c r="B52">
        <v>1.3037333380919833</v>
      </c>
      <c r="C52">
        <v>1.3915029693924166</v>
      </c>
      <c r="D52">
        <v>1.3915502328675982</v>
      </c>
      <c r="E52">
        <v>1.1458333333333335</v>
      </c>
    </row>
    <row r="53" spans="1:5" x14ac:dyDescent="0.2">
      <c r="A53">
        <v>1980</v>
      </c>
      <c r="B53">
        <v>1.2794772488227277</v>
      </c>
      <c r="C53">
        <v>1.3656920968478758</v>
      </c>
      <c r="D53">
        <v>1.3659347970725215</v>
      </c>
      <c r="E53">
        <v>1.1145833333333333</v>
      </c>
    </row>
    <row r="54" spans="1:5" x14ac:dyDescent="0.2">
      <c r="A54">
        <v>1981</v>
      </c>
      <c r="B54">
        <v>1.377667374156424</v>
      </c>
      <c r="C54">
        <v>1.4705344906349931</v>
      </c>
      <c r="D54">
        <v>1.4703925482368596</v>
      </c>
      <c r="E54">
        <v>1.1979166666666665</v>
      </c>
    </row>
    <row r="55" spans="1:5" x14ac:dyDescent="0.2">
      <c r="A55">
        <v>1982</v>
      </c>
      <c r="B55">
        <v>1.3983289659162093</v>
      </c>
      <c r="C55">
        <v>1.4924623115577889</v>
      </c>
      <c r="D55">
        <v>1.4926813040585496</v>
      </c>
      <c r="E55">
        <v>1.1875</v>
      </c>
    </row>
    <row r="56" spans="1:5" x14ac:dyDescent="0.2">
      <c r="A56">
        <v>1983</v>
      </c>
      <c r="B56">
        <v>1.4251013559571053</v>
      </c>
      <c r="C56">
        <v>1.5650982183645501</v>
      </c>
      <c r="D56">
        <v>1.5652029274783765</v>
      </c>
      <c r="E56">
        <v>1.2083333333333335</v>
      </c>
    </row>
    <row r="57" spans="1:5" x14ac:dyDescent="0.2">
      <c r="A57">
        <v>1984</v>
      </c>
      <c r="B57">
        <v>1.4623600085314721</v>
      </c>
      <c r="C57">
        <v>1.680219278209228</v>
      </c>
      <c r="D57">
        <v>1.6803060545575517</v>
      </c>
      <c r="E57">
        <v>1.2708333333333335</v>
      </c>
    </row>
    <row r="58" spans="1:5" x14ac:dyDescent="0.2">
      <c r="A58">
        <v>1985</v>
      </c>
      <c r="B58">
        <v>1.4753346199037836</v>
      </c>
      <c r="C58">
        <v>1.7028323435358612</v>
      </c>
      <c r="D58">
        <v>1.7032601463739188</v>
      </c>
      <c r="E58">
        <v>1.2916666666666667</v>
      </c>
    </row>
    <row r="59" spans="1:5" x14ac:dyDescent="0.2">
      <c r="A59">
        <v>1986</v>
      </c>
      <c r="B59">
        <v>1.4649442931966878</v>
      </c>
      <c r="C59">
        <v>1.6884422110552764</v>
      </c>
      <c r="D59">
        <v>1.6882900864936794</v>
      </c>
      <c r="E59">
        <v>1.28125</v>
      </c>
    </row>
    <row r="60" spans="1:5" x14ac:dyDescent="0.2">
      <c r="A60">
        <v>1987</v>
      </c>
      <c r="B60">
        <v>1.4428278758429978</v>
      </c>
      <c r="C60">
        <v>1.6256281407035176</v>
      </c>
      <c r="D60">
        <v>1.625748502994012</v>
      </c>
      <c r="E60">
        <v>1.21875</v>
      </c>
    </row>
    <row r="61" spans="1:5" x14ac:dyDescent="0.2">
      <c r="A61">
        <v>1988</v>
      </c>
      <c r="B61">
        <v>1.4563763782473518</v>
      </c>
      <c r="C61">
        <v>1.6610324349017815</v>
      </c>
      <c r="D61">
        <v>1.6613439787092481</v>
      </c>
      <c r="E61">
        <v>1.2395833333333333</v>
      </c>
    </row>
    <row r="62" spans="1:5" x14ac:dyDescent="0.2">
      <c r="A62">
        <v>1989</v>
      </c>
      <c r="B62">
        <v>1.4470312330194557</v>
      </c>
      <c r="C62">
        <v>1.6601187756966651</v>
      </c>
      <c r="D62">
        <v>1.6603459747172322</v>
      </c>
      <c r="E62">
        <v>1.2291666666666667</v>
      </c>
    </row>
    <row r="63" spans="1:5" x14ac:dyDescent="0.2">
      <c r="A63">
        <v>1990</v>
      </c>
      <c r="B63">
        <v>1.4306919042598003</v>
      </c>
      <c r="C63">
        <v>1.5678391959798994</v>
      </c>
      <c r="D63">
        <v>1.5678642714570858</v>
      </c>
      <c r="E63">
        <v>1.1666666666666667</v>
      </c>
    </row>
    <row r="64" spans="1:5" x14ac:dyDescent="0.2">
      <c r="A64">
        <v>1991</v>
      </c>
      <c r="B64">
        <v>1.2530551577781457</v>
      </c>
      <c r="C64">
        <v>1.301050708085884</v>
      </c>
      <c r="D64">
        <v>1.3247723634572621</v>
      </c>
      <c r="E64">
        <v>0.98958333333333337</v>
      </c>
    </row>
    <row r="65" spans="1:5" x14ac:dyDescent="0.2">
      <c r="A65">
        <v>1992</v>
      </c>
      <c r="B65">
        <v>1.0719678212581725</v>
      </c>
      <c r="C65">
        <v>1.09113750571037</v>
      </c>
      <c r="D65">
        <v>1.1310594559250173</v>
      </c>
      <c r="E65">
        <v>0.84375000000000011</v>
      </c>
    </row>
    <row r="66" spans="1:5" x14ac:dyDescent="0.2">
      <c r="A66">
        <v>1993</v>
      </c>
      <c r="B66">
        <v>0.89414650709692978</v>
      </c>
      <c r="C66">
        <v>0.8378254910918228</v>
      </c>
      <c r="D66">
        <v>0.88405388412986396</v>
      </c>
      <c r="E66">
        <v>0.64583333333333337</v>
      </c>
    </row>
    <row r="67" spans="1:5" x14ac:dyDescent="0.2">
      <c r="A67">
        <v>1994</v>
      </c>
      <c r="B67">
        <v>0.90815132747649741</v>
      </c>
      <c r="C67">
        <v>0.83074463225216999</v>
      </c>
      <c r="D67">
        <v>0.8925809979400724</v>
      </c>
      <c r="E67">
        <v>0.64583333333333337</v>
      </c>
    </row>
    <row r="68" spans="1:5" x14ac:dyDescent="0.2">
      <c r="A68">
        <v>1995</v>
      </c>
      <c r="B68">
        <v>0.93453142283806045</v>
      </c>
      <c r="C68">
        <v>0.87026039287345824</v>
      </c>
      <c r="D68">
        <v>0.95168239212424632</v>
      </c>
      <c r="E68">
        <v>0.66666666666666663</v>
      </c>
    </row>
    <row r="69" spans="1:5" x14ac:dyDescent="0.2">
      <c r="A69">
        <v>1996</v>
      </c>
      <c r="B69">
        <v>1.0114699307602903</v>
      </c>
      <c r="C69">
        <v>0.97099132023755141</v>
      </c>
      <c r="D69">
        <v>1.0810496731323265</v>
      </c>
      <c r="E69">
        <v>0.73958333333333337</v>
      </c>
    </row>
    <row r="70" spans="1:5" x14ac:dyDescent="0.2">
      <c r="A70">
        <v>1997</v>
      </c>
      <c r="B70">
        <v>1.0410413497289033</v>
      </c>
      <c r="C70">
        <v>1.0052535404294198</v>
      </c>
      <c r="D70">
        <v>1.1395747785621695</v>
      </c>
      <c r="E70">
        <v>0.76041666666666663</v>
      </c>
    </row>
    <row r="71" spans="1:5" x14ac:dyDescent="0.2">
      <c r="A71">
        <v>1998</v>
      </c>
      <c r="B71">
        <v>1.0500533906389111</v>
      </c>
      <c r="C71">
        <v>0.98446779351301961</v>
      </c>
      <c r="D71">
        <v>1.1362425946395815</v>
      </c>
      <c r="E71">
        <v>0.75000000000000011</v>
      </c>
    </row>
    <row r="72" spans="1:5" x14ac:dyDescent="0.2">
      <c r="A72">
        <v>1999</v>
      </c>
      <c r="B72">
        <v>1.1159681048281589</v>
      </c>
      <c r="C72">
        <v>1.02603928734582</v>
      </c>
      <c r="D72">
        <v>1.2054542182421155</v>
      </c>
      <c r="E72">
        <v>0.80208333333333337</v>
      </c>
    </row>
    <row r="73" spans="1:5" x14ac:dyDescent="0.2">
      <c r="A73">
        <v>2000</v>
      </c>
      <c r="B73">
        <v>1.1717204179532907</v>
      </c>
      <c r="C73">
        <v>1.1151210598446779</v>
      </c>
      <c r="D73">
        <v>1.3337790672958749</v>
      </c>
      <c r="E73">
        <v>0.85416666666666674</v>
      </c>
    </row>
    <row r="74" spans="1:5" x14ac:dyDescent="0.2">
      <c r="A74">
        <v>2001</v>
      </c>
      <c r="B74">
        <v>1.201077836912358</v>
      </c>
      <c r="C74">
        <v>1.1560073092736409</v>
      </c>
      <c r="D74">
        <v>1.4076260257441233</v>
      </c>
      <c r="E74">
        <v>0.875</v>
      </c>
    </row>
    <row r="75" spans="1:5" x14ac:dyDescent="0.2">
      <c r="A75">
        <v>2002</v>
      </c>
      <c r="B75">
        <v>1.214350515468305</v>
      </c>
      <c r="C75">
        <v>1.1724531749657379</v>
      </c>
      <c r="D75">
        <v>1.4534398872416394</v>
      </c>
      <c r="E75">
        <v>0.88541666666666663</v>
      </c>
    </row>
    <row r="76" spans="1:5" x14ac:dyDescent="0.2">
      <c r="A76">
        <v>2003</v>
      </c>
      <c r="B76">
        <v>1.2555437597384715</v>
      </c>
      <c r="C76">
        <v>1.1879853814527181</v>
      </c>
      <c r="D76">
        <v>1.4992268310280137</v>
      </c>
      <c r="E76">
        <v>0.90625</v>
      </c>
    </row>
    <row r="77" spans="1:5" x14ac:dyDescent="0.2">
      <c r="A77">
        <v>2004</v>
      </c>
      <c r="B77">
        <v>1.3235495284046641</v>
      </c>
      <c r="C77">
        <v>1.1809045226130652</v>
      </c>
      <c r="D77">
        <v>1.5173042986533243</v>
      </c>
      <c r="E77">
        <v>0.92708333333333337</v>
      </c>
    </row>
    <row r="78" spans="1:5" x14ac:dyDescent="0.2">
      <c r="A78">
        <v>2005</v>
      </c>
      <c r="B78">
        <v>1.4668726456029244</v>
      </c>
      <c r="C78">
        <v>1.1987208771128368</v>
      </c>
      <c r="D78">
        <v>1.568099236299094</v>
      </c>
      <c r="E78">
        <v>0.96875</v>
      </c>
    </row>
    <row r="79" spans="1:5" x14ac:dyDescent="0.2">
      <c r="A79">
        <v>2006</v>
      </c>
      <c r="B79">
        <v>1.6391584830635861</v>
      </c>
      <c r="C79">
        <v>1.3529008679762449</v>
      </c>
      <c r="D79">
        <v>1.8017768435190367</v>
      </c>
      <c r="E79">
        <v>1.09375</v>
      </c>
    </row>
    <row r="80" spans="1:5" x14ac:dyDescent="0.2">
      <c r="A80">
        <v>2007</v>
      </c>
      <c r="B80">
        <v>1.7538778893001927</v>
      </c>
      <c r="C80">
        <v>1.38282320694381</v>
      </c>
      <c r="D80">
        <v>1.8748131251173217</v>
      </c>
      <c r="E80">
        <v>1.1458333333333335</v>
      </c>
    </row>
    <row r="81" spans="1:5" x14ac:dyDescent="0.2">
      <c r="A81">
        <v>2008</v>
      </c>
      <c r="B81">
        <v>1.8209743593784709</v>
      </c>
      <c r="C81">
        <v>1.4472361809045227</v>
      </c>
      <c r="D81">
        <v>1.997636015244356</v>
      </c>
      <c r="E81">
        <v>1.1666666666666667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DD10-8055-43B4-942A-51E0DE43A915}">
  <dimension ref="A1:E7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5" bestFit="1" customWidth="1"/>
    <col min="2" max="2" width="25.83203125" bestFit="1" customWidth="1"/>
    <col min="3" max="3" width="23.5" bestFit="1" customWidth="1"/>
  </cols>
  <sheetData>
    <row r="1" spans="1:5" x14ac:dyDescent="0.2">
      <c r="A1" t="s">
        <v>0</v>
      </c>
      <c r="B1" t="s">
        <v>6</v>
      </c>
      <c r="C1" t="s">
        <v>3</v>
      </c>
      <c r="D1" t="s">
        <v>4</v>
      </c>
      <c r="E1" t="s">
        <v>5</v>
      </c>
    </row>
    <row r="2" spans="1:5" x14ac:dyDescent="0.2">
      <c r="A2">
        <v>1913</v>
      </c>
      <c r="B2" t="s">
        <v>7</v>
      </c>
      <c r="C2" t="s">
        <v>9</v>
      </c>
      <c r="D2" t="s">
        <v>10</v>
      </c>
      <c r="E2" t="s">
        <v>11</v>
      </c>
    </row>
    <row r="3" spans="1:5" x14ac:dyDescent="0.2">
      <c r="A3">
        <v>1950</v>
      </c>
      <c r="B3" t="s">
        <v>7</v>
      </c>
      <c r="C3" t="s">
        <v>8</v>
      </c>
      <c r="D3" t="s">
        <v>1</v>
      </c>
      <c r="E3" t="s">
        <v>2</v>
      </c>
    </row>
    <row r="4" spans="1:5" x14ac:dyDescent="0.2">
      <c r="A4">
        <v>1955</v>
      </c>
      <c r="B4" t="s">
        <v>7</v>
      </c>
      <c r="C4" t="s">
        <v>13</v>
      </c>
      <c r="D4" t="s">
        <v>12</v>
      </c>
      <c r="E4" t="s">
        <v>2</v>
      </c>
    </row>
    <row r="5" spans="1:5" x14ac:dyDescent="0.2">
      <c r="A5">
        <v>1955</v>
      </c>
      <c r="B5" t="s">
        <v>14</v>
      </c>
      <c r="C5" t="s">
        <v>13</v>
      </c>
      <c r="D5" t="s">
        <v>1</v>
      </c>
      <c r="E5" t="s">
        <v>2</v>
      </c>
    </row>
    <row r="6" spans="1:5" x14ac:dyDescent="0.2">
      <c r="A6">
        <v>1955</v>
      </c>
      <c r="B6" t="s">
        <v>15</v>
      </c>
      <c r="C6" t="s">
        <v>13</v>
      </c>
      <c r="D6" t="s">
        <v>1</v>
      </c>
      <c r="E6" t="s">
        <v>16</v>
      </c>
    </row>
    <row r="7" spans="1:5" x14ac:dyDescent="0.2">
      <c r="A7" t="s">
        <v>17</v>
      </c>
      <c r="B7" t="s">
        <v>7</v>
      </c>
      <c r="C7" t="s">
        <v>18</v>
      </c>
      <c r="D7" t="s">
        <v>19</v>
      </c>
      <c r="E7" t="s">
        <v>2</v>
      </c>
    </row>
  </sheetData>
  <sortState xmlns:xlrd2="http://schemas.microsoft.com/office/spreadsheetml/2017/richdata2" ref="A2:E6">
    <sortCondition ref="A2:A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AB1B-237A-4E46-A230-8A4BD1715CE9}">
  <dimension ref="A1:I22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11.6640625" bestFit="1" customWidth="1"/>
    <col min="2" max="2" width="9.33203125" bestFit="1" customWidth="1"/>
    <col min="3" max="3" width="11.33203125" bestFit="1" customWidth="1"/>
    <col min="8" max="8" width="14.6640625" bestFit="1" customWidth="1"/>
  </cols>
  <sheetData>
    <row r="1" spans="1:9" x14ac:dyDescent="0.2">
      <c r="A1" s="2" t="s">
        <v>25</v>
      </c>
      <c r="B1" s="2"/>
      <c r="D1" t="s">
        <v>27</v>
      </c>
      <c r="E1">
        <f>AVERAGE(B3:B5)</f>
        <v>1601.6716666666669</v>
      </c>
      <c r="G1">
        <f>AVERAGE(F3:F5)</f>
        <v>0.71180555555555569</v>
      </c>
      <c r="I1">
        <f>AVERAGE(H3:H5)</f>
        <v>0.96923144599831801</v>
      </c>
    </row>
    <row r="2" spans="1:9" x14ac:dyDescent="0.2">
      <c r="A2" t="s">
        <v>20</v>
      </c>
      <c r="B2" t="s">
        <v>21</v>
      </c>
      <c r="C2" t="s">
        <v>22</v>
      </c>
      <c r="D2" t="s">
        <v>23</v>
      </c>
      <c r="E2" t="s">
        <v>26</v>
      </c>
      <c r="F2" t="s">
        <v>28</v>
      </c>
      <c r="G2" t="s">
        <v>29</v>
      </c>
      <c r="H2" t="s">
        <v>30</v>
      </c>
      <c r="I2" t="s">
        <v>31</v>
      </c>
    </row>
    <row r="3" spans="1:9" x14ac:dyDescent="0.2">
      <c r="A3">
        <v>2828.8690000000001</v>
      </c>
      <c r="B3">
        <v>1783.598</v>
      </c>
      <c r="C3" t="s">
        <v>24</v>
      </c>
      <c r="D3">
        <v>1992</v>
      </c>
      <c r="E3">
        <f t="shared" ref="E3:E22" si="0">B3/$E$1</f>
        <v>1.1135852853737187</v>
      </c>
      <c r="F3">
        <v>0.84375</v>
      </c>
      <c r="G3">
        <f>F3/$G$1</f>
        <v>1.1853658536585363</v>
      </c>
      <c r="H3">
        <v>1.1310594559250173</v>
      </c>
      <c r="I3">
        <f>H3/$I$1</f>
        <v>1.1669652904833425</v>
      </c>
    </row>
    <row r="4" spans="1:9" x14ac:dyDescent="0.2">
      <c r="A4">
        <v>2393.819</v>
      </c>
      <c r="B4">
        <v>1509.3</v>
      </c>
      <c r="C4" t="s">
        <v>24</v>
      </c>
      <c r="D4">
        <v>1993</v>
      </c>
      <c r="E4">
        <f t="shared" si="0"/>
        <v>0.94232796359636739</v>
      </c>
      <c r="F4">
        <v>0.64583333333333337</v>
      </c>
      <c r="G4">
        <f t="shared" ref="G4:G22" si="1">F4/$G$1</f>
        <v>0.90731707317073162</v>
      </c>
      <c r="H4">
        <v>0.88405388412986396</v>
      </c>
      <c r="I4">
        <f t="shared" ref="I4:I22" si="2">H4/$I$1</f>
        <v>0.91211844991190905</v>
      </c>
    </row>
    <row r="5" spans="1:9" x14ac:dyDescent="0.2">
      <c r="A5">
        <v>2398.2890000000002</v>
      </c>
      <c r="B5">
        <v>1512.117</v>
      </c>
      <c r="C5" t="s">
        <v>24</v>
      </c>
      <c r="D5">
        <v>1994</v>
      </c>
      <c r="E5">
        <f t="shared" si="0"/>
        <v>0.94408675102991335</v>
      </c>
      <c r="F5">
        <v>0.64583333333333337</v>
      </c>
      <c r="G5">
        <f t="shared" si="1"/>
        <v>0.90731707317073162</v>
      </c>
      <c r="H5">
        <v>0.8925809979400724</v>
      </c>
      <c r="I5">
        <f t="shared" si="2"/>
        <v>0.9209162596047481</v>
      </c>
    </row>
    <row r="6" spans="1:9" x14ac:dyDescent="0.2">
      <c r="A6">
        <v>2445.2640000000001</v>
      </c>
      <c r="B6">
        <v>1541.7349999999999</v>
      </c>
      <c r="C6" t="s">
        <v>24</v>
      </c>
      <c r="D6">
        <v>1995</v>
      </c>
      <c r="E6">
        <f t="shared" si="0"/>
        <v>0.96257868081577247</v>
      </c>
      <c r="F6">
        <v>0.66666666666666663</v>
      </c>
      <c r="G6">
        <f t="shared" si="1"/>
        <v>0.93658536585365826</v>
      </c>
      <c r="H6">
        <v>0.95168239212424632</v>
      </c>
      <c r="I6">
        <f t="shared" si="2"/>
        <v>0.98189384594719176</v>
      </c>
    </row>
    <row r="7" spans="1:9" x14ac:dyDescent="0.2">
      <c r="A7">
        <v>2625.2359999999999</v>
      </c>
      <c r="B7">
        <v>1655.2080000000001</v>
      </c>
      <c r="C7" t="s">
        <v>24</v>
      </c>
      <c r="D7">
        <v>1996</v>
      </c>
      <c r="E7">
        <f t="shared" si="0"/>
        <v>1.0334252858731969</v>
      </c>
      <c r="F7">
        <v>0.73958333333333337</v>
      </c>
      <c r="G7">
        <f t="shared" si="1"/>
        <v>1.0390243902439023</v>
      </c>
      <c r="H7">
        <v>1.0810496731323265</v>
      </c>
      <c r="I7">
        <f t="shared" si="2"/>
        <v>1.115367931566474</v>
      </c>
    </row>
    <row r="8" spans="1:9" x14ac:dyDescent="0.2">
      <c r="A8">
        <v>2687.7049999999999</v>
      </c>
      <c r="B8">
        <v>1694.5940000000001</v>
      </c>
      <c r="C8" t="s">
        <v>24</v>
      </c>
      <c r="D8">
        <v>1997</v>
      </c>
      <c r="E8">
        <f t="shared" si="0"/>
        <v>1.0580158438631304</v>
      </c>
      <c r="F8">
        <v>0.76041666666666663</v>
      </c>
      <c r="G8">
        <f t="shared" si="1"/>
        <v>1.0682926829268291</v>
      </c>
      <c r="H8">
        <v>1.1395747785621695</v>
      </c>
      <c r="I8">
        <f t="shared" si="2"/>
        <v>1.1757509346886659</v>
      </c>
    </row>
    <row r="9" spans="1:9" x14ac:dyDescent="0.2">
      <c r="A9">
        <v>2682.2379999999998</v>
      </c>
      <c r="B9">
        <v>1691.1479999999999</v>
      </c>
      <c r="C9" t="s">
        <v>24</v>
      </c>
      <c r="D9">
        <v>1998</v>
      </c>
      <c r="E9">
        <f t="shared" si="0"/>
        <v>1.055864341734625</v>
      </c>
      <c r="F9">
        <v>0.75000000000000011</v>
      </c>
      <c r="G9">
        <f t="shared" si="1"/>
        <v>1.0536585365853659</v>
      </c>
      <c r="H9">
        <v>1.1362425946395815</v>
      </c>
      <c r="I9">
        <f t="shared" si="2"/>
        <v>1.1723129695500545</v>
      </c>
    </row>
    <row r="10" spans="1:9" x14ac:dyDescent="0.2">
      <c r="A10">
        <v>2838.6390000000001</v>
      </c>
      <c r="B10">
        <v>1789.7570000000001</v>
      </c>
      <c r="C10" t="s">
        <v>24</v>
      </c>
      <c r="D10">
        <v>1999</v>
      </c>
      <c r="E10">
        <f t="shared" si="0"/>
        <v>1.1174306427763492</v>
      </c>
      <c r="F10">
        <v>0.80208333333333337</v>
      </c>
      <c r="G10">
        <f t="shared" si="1"/>
        <v>1.1268292682926828</v>
      </c>
      <c r="H10">
        <v>1.2054542182421155</v>
      </c>
      <c r="I10">
        <f t="shared" si="2"/>
        <v>1.2437217376913372</v>
      </c>
    </row>
    <row r="11" spans="1:9" x14ac:dyDescent="0.2">
      <c r="A11">
        <v>2996.6260000000002</v>
      </c>
      <c r="B11">
        <v>1889.367</v>
      </c>
      <c r="C11" t="s">
        <v>24</v>
      </c>
      <c r="D11">
        <v>2000</v>
      </c>
      <c r="E11">
        <f t="shared" si="0"/>
        <v>1.1796219158524999</v>
      </c>
      <c r="F11">
        <v>0.85416666666666674</v>
      </c>
      <c r="G11">
        <f t="shared" si="1"/>
        <v>1.2</v>
      </c>
      <c r="H11">
        <v>1.3337790672958749</v>
      </c>
      <c r="I11">
        <f t="shared" si="2"/>
        <v>1.3761202990293708</v>
      </c>
    </row>
    <row r="12" spans="1:9" x14ac:dyDescent="0.2">
      <c r="A12">
        <v>3081.7350000000001</v>
      </c>
      <c r="B12">
        <v>1943.029</v>
      </c>
      <c r="C12" t="s">
        <v>24</v>
      </c>
      <c r="D12">
        <v>2001</v>
      </c>
      <c r="E12">
        <f t="shared" si="0"/>
        <v>1.2131256614183306</v>
      </c>
      <c r="F12">
        <v>0.875</v>
      </c>
      <c r="G12">
        <f t="shared" si="1"/>
        <v>1.2292682926829266</v>
      </c>
      <c r="H12">
        <v>1.4076260257441233</v>
      </c>
      <c r="I12">
        <f t="shared" si="2"/>
        <v>1.4523115521641528</v>
      </c>
    </row>
    <row r="13" spans="1:9" x14ac:dyDescent="0.2">
      <c r="A13">
        <v>3115.5410000000002</v>
      </c>
      <c r="B13">
        <v>1964.3430000000001</v>
      </c>
      <c r="C13" t="s">
        <v>24</v>
      </c>
      <c r="D13">
        <v>2002</v>
      </c>
      <c r="E13">
        <f t="shared" si="0"/>
        <v>1.2264330080135024</v>
      </c>
      <c r="F13">
        <v>0.88541666666666663</v>
      </c>
      <c r="G13">
        <f t="shared" si="1"/>
        <v>1.24390243902439</v>
      </c>
      <c r="H13">
        <v>1.4534398872416394</v>
      </c>
      <c r="I13">
        <f t="shared" si="2"/>
        <v>1.4995797889580254</v>
      </c>
    </row>
    <row r="14" spans="1:9" x14ac:dyDescent="0.2">
      <c r="A14">
        <v>3223.94</v>
      </c>
      <c r="B14">
        <v>2032.69</v>
      </c>
      <c r="C14" t="s">
        <v>24</v>
      </c>
      <c r="D14">
        <v>2003</v>
      </c>
      <c r="E14">
        <f t="shared" si="0"/>
        <v>1.269105299359107</v>
      </c>
      <c r="F14">
        <v>0.90625</v>
      </c>
      <c r="G14">
        <f t="shared" si="1"/>
        <v>1.2731707317073169</v>
      </c>
      <c r="H14">
        <v>1.4992268310280137</v>
      </c>
      <c r="I14">
        <f t="shared" si="2"/>
        <v>1.5468202535296358</v>
      </c>
    </row>
    <row r="15" spans="1:9" x14ac:dyDescent="0.2">
      <c r="A15">
        <v>3401.6930000000002</v>
      </c>
      <c r="B15">
        <v>2144.761</v>
      </c>
      <c r="C15" t="s">
        <v>24</v>
      </c>
      <c r="D15">
        <v>2004</v>
      </c>
      <c r="E15">
        <f t="shared" si="0"/>
        <v>1.3390765689597222</v>
      </c>
      <c r="F15">
        <v>0.92708333333333337</v>
      </c>
      <c r="G15">
        <f t="shared" si="1"/>
        <v>1.3024390243902437</v>
      </c>
      <c r="H15">
        <v>1.5173042986533243</v>
      </c>
      <c r="I15">
        <f t="shared" si="2"/>
        <v>1.5654715959927257</v>
      </c>
    </row>
    <row r="16" spans="1:9" x14ac:dyDescent="0.2">
      <c r="A16">
        <v>3776.4720000000002</v>
      </c>
      <c r="B16">
        <v>2381.0590000000002</v>
      </c>
      <c r="C16" t="s">
        <v>24</v>
      </c>
      <c r="D16">
        <v>2005</v>
      </c>
      <c r="E16">
        <f t="shared" si="0"/>
        <v>1.4866086786409616</v>
      </c>
      <c r="F16">
        <v>0.96875</v>
      </c>
      <c r="G16">
        <f t="shared" si="1"/>
        <v>1.3609756097560972</v>
      </c>
      <c r="H16">
        <v>1.568099236299094</v>
      </c>
      <c r="I16">
        <f t="shared" si="2"/>
        <v>1.6178790347479246</v>
      </c>
    </row>
    <row r="17" spans="1:9" x14ac:dyDescent="0.2">
      <c r="A17">
        <v>4228.7539999999999</v>
      </c>
      <c r="B17">
        <v>2666.223</v>
      </c>
      <c r="C17" t="s">
        <v>24</v>
      </c>
      <c r="D17">
        <v>2006</v>
      </c>
      <c r="E17">
        <f t="shared" si="0"/>
        <v>1.6646501623824272</v>
      </c>
      <c r="F17">
        <v>1.09375</v>
      </c>
      <c r="G17">
        <f t="shared" si="1"/>
        <v>1.5365853658536583</v>
      </c>
      <c r="H17">
        <v>1.8017768435190367</v>
      </c>
      <c r="I17">
        <f t="shared" si="2"/>
        <v>1.8589748103593446</v>
      </c>
    </row>
    <row r="18" spans="1:9" x14ac:dyDescent="0.2">
      <c r="A18">
        <v>4535.6189999999997</v>
      </c>
      <c r="B18">
        <v>2859.7020000000002</v>
      </c>
      <c r="C18" t="s">
        <v>24</v>
      </c>
      <c r="D18">
        <v>2007</v>
      </c>
      <c r="E18">
        <f t="shared" si="0"/>
        <v>1.7854483284651557</v>
      </c>
      <c r="F18">
        <v>1.1458333333333335</v>
      </c>
      <c r="G18">
        <f t="shared" si="1"/>
        <v>1.6097560975609755</v>
      </c>
      <c r="H18">
        <v>1.8748131251173217</v>
      </c>
      <c r="I18">
        <f t="shared" si="2"/>
        <v>1.9343296514551749</v>
      </c>
    </row>
    <row r="19" spans="1:9" x14ac:dyDescent="0.2">
      <c r="A19">
        <v>4724.567</v>
      </c>
      <c r="B19">
        <v>3073.473</v>
      </c>
      <c r="C19" t="s">
        <v>24</v>
      </c>
      <c r="D19">
        <v>2008</v>
      </c>
      <c r="E19">
        <f t="shared" si="0"/>
        <v>1.9189157578072074</v>
      </c>
      <c r="F19">
        <v>1.1666666666666667</v>
      </c>
      <c r="G19">
        <f t="shared" si="1"/>
        <v>1.6390243902439023</v>
      </c>
      <c r="H19">
        <v>1.997636015244356</v>
      </c>
      <c r="I19">
        <f t="shared" si="2"/>
        <v>2.0610515924674431</v>
      </c>
    </row>
    <row r="20" spans="1:9" x14ac:dyDescent="0.2">
      <c r="A20">
        <v>4796.2280000000001</v>
      </c>
      <c r="B20">
        <v>3120.09</v>
      </c>
      <c r="C20" t="s">
        <v>24</v>
      </c>
      <c r="D20">
        <v>2009</v>
      </c>
      <c r="E20">
        <f t="shared" si="0"/>
        <v>1.9480209739199563</v>
      </c>
      <c r="H20" s="1"/>
    </row>
    <row r="21" spans="1:9" x14ac:dyDescent="0.2">
      <c r="A21">
        <v>4913.8459999999995</v>
      </c>
      <c r="B21">
        <v>3196.6039999999998</v>
      </c>
      <c r="C21" t="s">
        <v>24</v>
      </c>
      <c r="D21">
        <v>2010</v>
      </c>
      <c r="E21">
        <f t="shared" si="0"/>
        <v>1.9957923128231647</v>
      </c>
      <c r="H21" s="1"/>
    </row>
    <row r="22" spans="1:9" x14ac:dyDescent="0.2">
      <c r="A22">
        <v>5049.585</v>
      </c>
      <c r="B22">
        <v>3284.9070000000002</v>
      </c>
      <c r="C22" t="s">
        <v>24</v>
      </c>
      <c r="D22">
        <v>2011</v>
      </c>
      <c r="E22">
        <f t="shared" si="0"/>
        <v>2.0509240866053489</v>
      </c>
      <c r="H22" s="1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459E-4CC6-F245-9F28-BE9FDA8A650C}">
  <dimension ref="A1:D21"/>
  <sheetViews>
    <sheetView workbookViewId="0">
      <selection activeCell="J16" sqref="J16"/>
    </sheetView>
  </sheetViews>
  <sheetFormatPr baseColWidth="10" defaultRowHeight="15" x14ac:dyDescent="0.2"/>
  <sheetData>
    <row r="1" spans="1:4" x14ac:dyDescent="0.2">
      <c r="A1" t="s">
        <v>22</v>
      </c>
      <c r="B1" t="s">
        <v>23</v>
      </c>
      <c r="C1" t="s">
        <v>20</v>
      </c>
      <c r="D1" t="s">
        <v>21</v>
      </c>
    </row>
    <row r="2" spans="1:4" x14ac:dyDescent="0.2">
      <c r="A2" t="s">
        <v>24</v>
      </c>
      <c r="B2">
        <v>1992</v>
      </c>
      <c r="C2">
        <v>2828.8690000000001</v>
      </c>
      <c r="D2">
        <v>1783.598</v>
      </c>
    </row>
    <row r="3" spans="1:4" x14ac:dyDescent="0.2">
      <c r="A3" t="s">
        <v>24</v>
      </c>
      <c r="B3">
        <v>1993</v>
      </c>
      <c r="C3">
        <v>2393.819</v>
      </c>
      <c r="D3">
        <v>1509.3</v>
      </c>
    </row>
    <row r="4" spans="1:4" x14ac:dyDescent="0.2">
      <c r="A4" t="s">
        <v>24</v>
      </c>
      <c r="B4">
        <v>1994</v>
      </c>
      <c r="C4">
        <v>2398.2890000000002</v>
      </c>
      <c r="D4">
        <v>1512.117</v>
      </c>
    </row>
    <row r="5" spans="1:4" x14ac:dyDescent="0.2">
      <c r="A5" t="s">
        <v>24</v>
      </c>
      <c r="B5">
        <v>1995</v>
      </c>
      <c r="C5">
        <v>2445.2640000000001</v>
      </c>
      <c r="D5">
        <v>1541.7349999999999</v>
      </c>
    </row>
    <row r="6" spans="1:4" x14ac:dyDescent="0.2">
      <c r="A6" t="s">
        <v>24</v>
      </c>
      <c r="B6">
        <v>1996</v>
      </c>
      <c r="C6">
        <v>2625.2359999999999</v>
      </c>
      <c r="D6">
        <v>1655.2080000000001</v>
      </c>
    </row>
    <row r="7" spans="1:4" x14ac:dyDescent="0.2">
      <c r="A7" t="s">
        <v>24</v>
      </c>
      <c r="B7">
        <v>1997</v>
      </c>
      <c r="C7">
        <v>2687.7049999999999</v>
      </c>
      <c r="D7">
        <v>1694.5940000000001</v>
      </c>
    </row>
    <row r="8" spans="1:4" x14ac:dyDescent="0.2">
      <c r="A8" t="s">
        <v>24</v>
      </c>
      <c r="B8">
        <v>1998</v>
      </c>
      <c r="C8">
        <v>2682.2379999999998</v>
      </c>
      <c r="D8">
        <v>1691.1479999999999</v>
      </c>
    </row>
    <row r="9" spans="1:4" x14ac:dyDescent="0.2">
      <c r="A9" t="s">
        <v>24</v>
      </c>
      <c r="B9">
        <v>1999</v>
      </c>
      <c r="C9">
        <v>2838.6390000000001</v>
      </c>
      <c r="D9">
        <v>1789.7570000000001</v>
      </c>
    </row>
    <row r="10" spans="1:4" x14ac:dyDescent="0.2">
      <c r="A10" t="s">
        <v>24</v>
      </c>
      <c r="B10">
        <v>2000</v>
      </c>
      <c r="C10">
        <v>2996.6260000000002</v>
      </c>
      <c r="D10">
        <v>1889.367</v>
      </c>
    </row>
    <row r="11" spans="1:4" x14ac:dyDescent="0.2">
      <c r="A11" t="s">
        <v>24</v>
      </c>
      <c r="B11">
        <v>2001</v>
      </c>
      <c r="C11">
        <v>3081.7350000000001</v>
      </c>
      <c r="D11">
        <v>1943.029</v>
      </c>
    </row>
    <row r="12" spans="1:4" x14ac:dyDescent="0.2">
      <c r="A12" t="s">
        <v>24</v>
      </c>
      <c r="B12">
        <v>2002</v>
      </c>
      <c r="C12">
        <v>3115.5410000000002</v>
      </c>
      <c r="D12">
        <v>1964.3430000000001</v>
      </c>
    </row>
    <row r="13" spans="1:4" x14ac:dyDescent="0.2">
      <c r="A13" t="s">
        <v>24</v>
      </c>
      <c r="B13">
        <v>2003</v>
      </c>
      <c r="C13">
        <v>3223.94</v>
      </c>
      <c r="D13">
        <v>2032.69</v>
      </c>
    </row>
    <row r="14" spans="1:4" x14ac:dyDescent="0.2">
      <c r="A14" t="s">
        <v>24</v>
      </c>
      <c r="B14">
        <v>2004</v>
      </c>
      <c r="C14">
        <v>3401.6930000000002</v>
      </c>
      <c r="D14">
        <v>2144.761</v>
      </c>
    </row>
    <row r="15" spans="1:4" x14ac:dyDescent="0.2">
      <c r="A15" t="s">
        <v>24</v>
      </c>
      <c r="B15">
        <v>2005</v>
      </c>
      <c r="C15">
        <v>3776.4720000000002</v>
      </c>
      <c r="D15">
        <v>2381.0590000000002</v>
      </c>
    </row>
    <row r="16" spans="1:4" x14ac:dyDescent="0.2">
      <c r="A16" t="s">
        <v>24</v>
      </c>
      <c r="B16">
        <v>2006</v>
      </c>
      <c r="C16">
        <v>4228.7539999999999</v>
      </c>
      <c r="D16">
        <v>2666.223</v>
      </c>
    </row>
    <row r="17" spans="1:4" x14ac:dyDescent="0.2">
      <c r="A17" t="s">
        <v>24</v>
      </c>
      <c r="B17">
        <v>2007</v>
      </c>
      <c r="C17">
        <v>4535.6189999999997</v>
      </c>
      <c r="D17">
        <v>2859.7020000000002</v>
      </c>
    </row>
    <row r="18" spans="1:4" x14ac:dyDescent="0.2">
      <c r="A18" t="s">
        <v>24</v>
      </c>
      <c r="B18">
        <v>2008</v>
      </c>
      <c r="C18">
        <v>4724.567</v>
      </c>
      <c r="D18">
        <v>3073.473</v>
      </c>
    </row>
    <row r="19" spans="1:4" x14ac:dyDescent="0.2">
      <c r="A19" t="s">
        <v>24</v>
      </c>
      <c r="B19">
        <v>2009</v>
      </c>
      <c r="C19">
        <v>4796.2280000000001</v>
      </c>
      <c r="D19">
        <v>3120.09</v>
      </c>
    </row>
    <row r="20" spans="1:4" x14ac:dyDescent="0.2">
      <c r="A20" t="s">
        <v>24</v>
      </c>
      <c r="B20">
        <v>2010</v>
      </c>
      <c r="C20">
        <v>4913.8459999999995</v>
      </c>
      <c r="D20">
        <v>3196.6039999999998</v>
      </c>
    </row>
    <row r="21" spans="1:4" x14ac:dyDescent="0.2">
      <c r="A21" t="s">
        <v>24</v>
      </c>
      <c r="B21">
        <v>2011</v>
      </c>
      <c r="C21">
        <v>5049.585</v>
      </c>
      <c r="D21">
        <v>3284.9070000000002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7B46-DDE7-564D-A7DB-7A50707DEFBA}">
  <dimension ref="A1:E21"/>
  <sheetViews>
    <sheetView workbookViewId="0">
      <selection activeCell="C18" sqref="C18"/>
    </sheetView>
  </sheetViews>
  <sheetFormatPr baseColWidth="10" defaultRowHeight="15" x14ac:dyDescent="0.2"/>
  <cols>
    <col min="4" max="4" width="14.6640625" bestFit="1" customWidth="1"/>
    <col min="5" max="5" width="15.6640625" bestFit="1" customWidth="1"/>
  </cols>
  <sheetData>
    <row r="1" spans="1:5" x14ac:dyDescent="0.2">
      <c r="A1" s="3" t="s">
        <v>22</v>
      </c>
      <c r="B1" s="3" t="s">
        <v>23</v>
      </c>
      <c r="C1" s="3" t="s">
        <v>26</v>
      </c>
      <c r="D1" s="3" t="s">
        <v>29</v>
      </c>
      <c r="E1" s="3" t="s">
        <v>31</v>
      </c>
    </row>
    <row r="2" spans="1:5" x14ac:dyDescent="0.2">
      <c r="A2" s="3" t="s">
        <v>24</v>
      </c>
      <c r="B2" s="3">
        <v>1992</v>
      </c>
      <c r="C2" s="3">
        <v>1.113585</v>
      </c>
      <c r="D2" s="3">
        <v>1.1853659999999999</v>
      </c>
      <c r="E2" s="3">
        <v>1.166965</v>
      </c>
    </row>
    <row r="3" spans="1:5" x14ac:dyDescent="0.2">
      <c r="A3" s="3" t="s">
        <v>24</v>
      </c>
      <c r="B3" s="3">
        <v>1993</v>
      </c>
      <c r="C3" s="3">
        <v>0.94232800000000005</v>
      </c>
      <c r="D3" s="3">
        <v>0.90731700000000004</v>
      </c>
      <c r="E3" s="3">
        <v>0.91211799999999998</v>
      </c>
    </row>
    <row r="4" spans="1:5" x14ac:dyDescent="0.2">
      <c r="A4" s="3" t="s">
        <v>24</v>
      </c>
      <c r="B4" s="3">
        <v>1994</v>
      </c>
      <c r="C4" s="3">
        <v>0.94408700000000001</v>
      </c>
      <c r="D4" s="3">
        <v>0.90731700000000004</v>
      </c>
      <c r="E4" s="3">
        <v>0.92091599999999996</v>
      </c>
    </row>
    <row r="5" spans="1:5" x14ac:dyDescent="0.2">
      <c r="A5" s="3" t="s">
        <v>24</v>
      </c>
      <c r="B5" s="3">
        <v>1995</v>
      </c>
      <c r="C5" s="3">
        <v>0.96257899999999996</v>
      </c>
      <c r="D5" s="3">
        <v>0.936585</v>
      </c>
      <c r="E5" s="3">
        <v>0.98189400000000004</v>
      </c>
    </row>
    <row r="6" spans="1:5" x14ac:dyDescent="0.2">
      <c r="A6" s="3" t="s">
        <v>24</v>
      </c>
      <c r="B6" s="3">
        <v>1996</v>
      </c>
      <c r="C6" s="3">
        <v>1.033425</v>
      </c>
      <c r="D6" s="3">
        <v>1.0390239999999999</v>
      </c>
      <c r="E6" s="3">
        <v>1.1153679999999999</v>
      </c>
    </row>
    <row r="7" spans="1:5" x14ac:dyDescent="0.2">
      <c r="A7" s="3" t="s">
        <v>24</v>
      </c>
      <c r="B7" s="3">
        <v>1997</v>
      </c>
      <c r="C7" s="3">
        <v>1.0580160000000001</v>
      </c>
      <c r="D7" s="3">
        <v>1.0682929999999999</v>
      </c>
      <c r="E7" s="3">
        <v>1.175751</v>
      </c>
    </row>
    <row r="8" spans="1:5" x14ac:dyDescent="0.2">
      <c r="A8" s="3" t="s">
        <v>24</v>
      </c>
      <c r="B8" s="3">
        <v>1998</v>
      </c>
      <c r="C8" s="3">
        <v>1.0558639999999999</v>
      </c>
      <c r="D8" s="3">
        <v>1.0536589999999999</v>
      </c>
      <c r="E8" s="3">
        <v>1.1723129999999999</v>
      </c>
    </row>
    <row r="9" spans="1:5" x14ac:dyDescent="0.2">
      <c r="A9" s="3" t="s">
        <v>24</v>
      </c>
      <c r="B9" s="3">
        <v>1999</v>
      </c>
      <c r="C9" s="3">
        <v>1.1174310000000001</v>
      </c>
      <c r="D9" s="3">
        <v>1.1268290000000001</v>
      </c>
      <c r="E9" s="3">
        <v>1.243722</v>
      </c>
    </row>
    <row r="10" spans="1:5" x14ac:dyDescent="0.2">
      <c r="A10" s="3" t="s">
        <v>24</v>
      </c>
      <c r="B10" s="3">
        <v>2000</v>
      </c>
      <c r="C10" s="3">
        <v>1.1796219999999999</v>
      </c>
      <c r="D10" s="3">
        <v>1.2</v>
      </c>
      <c r="E10" s="3">
        <v>1.37612</v>
      </c>
    </row>
    <row r="11" spans="1:5" x14ac:dyDescent="0.2">
      <c r="A11" s="3" t="s">
        <v>24</v>
      </c>
      <c r="B11" s="3">
        <v>2001</v>
      </c>
      <c r="C11" s="3">
        <v>1.2131259999999999</v>
      </c>
      <c r="D11" s="3">
        <v>1.229268</v>
      </c>
      <c r="E11" s="3">
        <v>1.452312</v>
      </c>
    </row>
    <row r="12" spans="1:5" x14ac:dyDescent="0.2">
      <c r="A12" s="3" t="s">
        <v>24</v>
      </c>
      <c r="B12" s="3">
        <v>2002</v>
      </c>
      <c r="C12" s="3">
        <v>1.2264330000000001</v>
      </c>
      <c r="D12" s="3">
        <v>1.2439020000000001</v>
      </c>
      <c r="E12" s="3">
        <v>1.4995799999999999</v>
      </c>
    </row>
    <row r="13" spans="1:5" x14ac:dyDescent="0.2">
      <c r="A13" s="3" t="s">
        <v>24</v>
      </c>
      <c r="B13" s="3">
        <v>2003</v>
      </c>
      <c r="C13" s="3">
        <v>1.2691049999999999</v>
      </c>
      <c r="D13" s="3">
        <v>1.2731710000000001</v>
      </c>
      <c r="E13" s="3">
        <v>1.5468200000000001</v>
      </c>
    </row>
    <row r="14" spans="1:5" x14ac:dyDescent="0.2">
      <c r="A14" s="3" t="s">
        <v>24</v>
      </c>
      <c r="B14" s="3">
        <v>2004</v>
      </c>
      <c r="C14" s="3">
        <v>1.3390770000000001</v>
      </c>
      <c r="D14" s="3">
        <v>1.3024389999999999</v>
      </c>
      <c r="E14" s="3">
        <v>1.565472</v>
      </c>
    </row>
    <row r="15" spans="1:5" x14ac:dyDescent="0.2">
      <c r="A15" s="3" t="s">
        <v>24</v>
      </c>
      <c r="B15" s="3">
        <v>2005</v>
      </c>
      <c r="C15" s="3">
        <v>1.4866090000000001</v>
      </c>
      <c r="D15" s="3">
        <v>1.360976</v>
      </c>
      <c r="E15" s="3">
        <v>1.6178790000000001</v>
      </c>
    </row>
    <row r="16" spans="1:5" x14ac:dyDescent="0.2">
      <c r="A16" s="3" t="s">
        <v>24</v>
      </c>
      <c r="B16" s="3">
        <v>2006</v>
      </c>
      <c r="C16" s="3">
        <v>1.66465</v>
      </c>
      <c r="D16" s="3">
        <v>1.5365850000000001</v>
      </c>
      <c r="E16" s="3">
        <v>1.858975</v>
      </c>
    </row>
    <row r="17" spans="1:5" x14ac:dyDescent="0.2">
      <c r="A17" s="3" t="s">
        <v>24</v>
      </c>
      <c r="B17" s="3">
        <v>2007</v>
      </c>
      <c r="C17" s="3">
        <v>1.7854479999999999</v>
      </c>
      <c r="D17" s="3">
        <v>1.609756</v>
      </c>
      <c r="E17" s="3">
        <v>1.9343300000000001</v>
      </c>
    </row>
    <row r="18" spans="1:5" x14ac:dyDescent="0.2">
      <c r="A18" s="3" t="s">
        <v>24</v>
      </c>
      <c r="B18" s="3">
        <v>2008</v>
      </c>
      <c r="C18" s="3">
        <v>1.9189160000000001</v>
      </c>
      <c r="D18" s="3">
        <v>1.639024</v>
      </c>
      <c r="E18" s="3">
        <v>2.0610520000000001</v>
      </c>
    </row>
    <row r="19" spans="1:5" x14ac:dyDescent="0.2">
      <c r="A19" s="3" t="s">
        <v>24</v>
      </c>
      <c r="B19" s="3">
        <v>2009</v>
      </c>
      <c r="C19" s="3"/>
      <c r="D19" s="3"/>
      <c r="E19" s="3"/>
    </row>
    <row r="20" spans="1:5" x14ac:dyDescent="0.2">
      <c r="A20" s="3" t="s">
        <v>24</v>
      </c>
      <c r="B20" s="3">
        <v>2010</v>
      </c>
      <c r="C20" s="3"/>
      <c r="D20" s="3"/>
      <c r="E20" s="3"/>
    </row>
    <row r="21" spans="1:5" x14ac:dyDescent="0.2">
      <c r="A21" s="3" t="s">
        <v>24</v>
      </c>
      <c r="B21" s="3">
        <v>2011</v>
      </c>
      <c r="C21" s="3"/>
      <c r="D21" s="3"/>
      <c r="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Appendix Figure A1</vt:lpstr>
      <vt:lpstr>Table A1</vt:lpstr>
      <vt:lpstr>NTL Calculations</vt:lpstr>
      <vt:lpstr>Figure A2</vt:lpstr>
      <vt:lpstr>Figure 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Geloso</dc:creator>
  <cp:lastModifiedBy>Bastos, Joao Pedro</cp:lastModifiedBy>
  <dcterms:created xsi:type="dcterms:W3CDTF">2025-02-28T19:48:25Z</dcterms:created>
  <dcterms:modified xsi:type="dcterms:W3CDTF">2026-02-16T16:16:25Z</dcterms:modified>
</cp:coreProperties>
</file>