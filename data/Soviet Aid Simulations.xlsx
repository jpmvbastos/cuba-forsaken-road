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joao-pedro_bastos_ttu_edu/Documents/Personal/Projects/Papers/Cuba/data/"/>
    </mc:Choice>
  </mc:AlternateContent>
  <xr:revisionPtr revIDLastSave="27" documentId="8_{865B931E-0BA5-47D5-B3B2-418689E0FA03}" xr6:coauthVersionLast="47" xr6:coauthVersionMax="47" xr10:uidLastSave="{691E1548-C342-C545-B690-F23539DE311D}"/>
  <bookViews>
    <workbookView xWindow="0" yWindow="760" windowWidth="34200" windowHeight="21380" activeTab="1" xr2:uid="{18E47874-0D74-4D0E-A6BB-A248293CF6E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O38" i="1" s="1"/>
  <c r="E37" i="1"/>
  <c r="E38" i="1"/>
  <c r="Q38" i="1" s="1"/>
  <c r="E39" i="1"/>
  <c r="Q39" i="1" s="1"/>
  <c r="E40" i="1"/>
  <c r="E41" i="1"/>
  <c r="Q41" i="1" s="1"/>
  <c r="E42" i="1"/>
  <c r="Q42" i="1" s="1"/>
  <c r="E43" i="1"/>
  <c r="Q43" i="1" s="1"/>
  <c r="E44" i="1"/>
  <c r="Q44" i="1" s="1"/>
  <c r="E45" i="1"/>
  <c r="Q45" i="1" s="1"/>
  <c r="E46" i="1"/>
  <c r="Q46" i="1" s="1"/>
  <c r="E47" i="1"/>
  <c r="Q47" i="1" s="1"/>
  <c r="E48" i="1"/>
  <c r="Q48" i="1" s="1"/>
  <c r="E49" i="1"/>
  <c r="Q49" i="1" s="1"/>
  <c r="E50" i="1"/>
  <c r="Q50" i="1" s="1"/>
  <c r="E51" i="1"/>
  <c r="Q51" i="1" s="1"/>
  <c r="E52" i="1"/>
  <c r="Q52" i="1" s="1"/>
  <c r="E53" i="1"/>
  <c r="Q53" i="1" s="1"/>
  <c r="E54" i="1"/>
  <c r="Q54" i="1" s="1"/>
  <c r="E55" i="1"/>
  <c r="Q55" i="1" s="1"/>
  <c r="E56" i="1"/>
  <c r="Q56" i="1" s="1"/>
  <c r="E57" i="1"/>
  <c r="Q57" i="1" s="1"/>
  <c r="E58" i="1"/>
  <c r="Q58" i="1" s="1"/>
  <c r="E59" i="1"/>
  <c r="Q59" i="1" s="1"/>
  <c r="E60" i="1"/>
  <c r="Q60" i="1" s="1"/>
  <c r="E61" i="1"/>
  <c r="Q61" i="1" s="1"/>
  <c r="E62" i="1"/>
  <c r="Q62" i="1" s="1"/>
  <c r="E63" i="1"/>
  <c r="Q63" i="1" s="1"/>
  <c r="E64" i="1"/>
  <c r="Q64" i="1" s="1"/>
  <c r="E36" i="1"/>
  <c r="G36" i="1" s="1"/>
  <c r="H36" i="1" s="1"/>
  <c r="R36" i="1" s="1"/>
  <c r="O39" i="1" l="1"/>
  <c r="Q37" i="1"/>
  <c r="Q36" i="1"/>
  <c r="Q40" i="1"/>
  <c r="G37" i="1"/>
  <c r="H37" i="1" s="1"/>
  <c r="R37" i="1" s="1"/>
  <c r="J36" i="1"/>
  <c r="K36" i="1" s="1"/>
  <c r="S36" i="1" s="1"/>
  <c r="M36" i="1"/>
  <c r="N36" i="1" s="1"/>
  <c r="T36" i="1" s="1"/>
  <c r="J37" i="1"/>
  <c r="K37" i="1" s="1"/>
  <c r="S37" i="1" s="1"/>
  <c r="G38" i="1"/>
  <c r="O40" i="1" l="1"/>
  <c r="M37" i="1"/>
  <c r="N37" i="1" s="1"/>
  <c r="T37" i="1" s="1"/>
  <c r="M38" i="1"/>
  <c r="J38" i="1"/>
  <c r="G39" i="1"/>
  <c r="H38" i="1"/>
  <c r="R38" i="1" s="1"/>
  <c r="N38" i="1" l="1"/>
  <c r="T38" i="1" s="1"/>
  <c r="M39" i="1"/>
  <c r="O41" i="1"/>
  <c r="J39" i="1"/>
  <c r="K38" i="1"/>
  <c r="S38" i="1" s="1"/>
  <c r="G40" i="1"/>
  <c r="H39" i="1"/>
  <c r="R39" i="1" s="1"/>
  <c r="M40" i="1" l="1"/>
  <c r="N39" i="1"/>
  <c r="T39" i="1" s="1"/>
  <c r="O42" i="1"/>
  <c r="J40" i="1"/>
  <c r="K39" i="1"/>
  <c r="S39" i="1" s="1"/>
  <c r="G41" i="1"/>
  <c r="H40" i="1"/>
  <c r="R40" i="1" s="1"/>
  <c r="O43" i="1" l="1"/>
  <c r="M41" i="1"/>
  <c r="N40" i="1"/>
  <c r="T40" i="1" s="1"/>
  <c r="J41" i="1"/>
  <c r="K40" i="1"/>
  <c r="S40" i="1" s="1"/>
  <c r="G42" i="1"/>
  <c r="H41" i="1"/>
  <c r="R41" i="1" s="1"/>
  <c r="M42" i="1" l="1"/>
  <c r="N41" i="1"/>
  <c r="T41" i="1" s="1"/>
  <c r="O44" i="1"/>
  <c r="J42" i="1"/>
  <c r="K41" i="1"/>
  <c r="S41" i="1" s="1"/>
  <c r="G43" i="1"/>
  <c r="H42" i="1"/>
  <c r="R42" i="1" s="1"/>
  <c r="O45" i="1" l="1"/>
  <c r="M43" i="1"/>
  <c r="N42" i="1"/>
  <c r="T42" i="1" s="1"/>
  <c r="J43" i="1"/>
  <c r="K42" i="1"/>
  <c r="S42" i="1" s="1"/>
  <c r="G44" i="1"/>
  <c r="H43" i="1"/>
  <c r="R43" i="1" s="1"/>
  <c r="M44" i="1" l="1"/>
  <c r="N43" i="1"/>
  <c r="T43" i="1" s="1"/>
  <c r="O46" i="1"/>
  <c r="J44" i="1"/>
  <c r="K43" i="1"/>
  <c r="S43" i="1" s="1"/>
  <c r="G45" i="1"/>
  <c r="H44" i="1"/>
  <c r="R44" i="1" s="1"/>
  <c r="O47" i="1" l="1"/>
  <c r="M45" i="1"/>
  <c r="N44" i="1"/>
  <c r="T44" i="1" s="1"/>
  <c r="J45" i="1"/>
  <c r="K44" i="1"/>
  <c r="S44" i="1" s="1"/>
  <c r="G46" i="1"/>
  <c r="H45" i="1"/>
  <c r="R45" i="1" s="1"/>
  <c r="M46" i="1" l="1"/>
  <c r="N45" i="1"/>
  <c r="T45" i="1" s="1"/>
  <c r="O48" i="1"/>
  <c r="J46" i="1"/>
  <c r="K45" i="1"/>
  <c r="S45" i="1" s="1"/>
  <c r="G47" i="1"/>
  <c r="H46" i="1"/>
  <c r="R46" i="1" s="1"/>
  <c r="O49" i="1" l="1"/>
  <c r="M47" i="1"/>
  <c r="N46" i="1"/>
  <c r="T46" i="1" s="1"/>
  <c r="J47" i="1"/>
  <c r="K46" i="1"/>
  <c r="S46" i="1" s="1"/>
  <c r="G48" i="1"/>
  <c r="H47" i="1"/>
  <c r="R47" i="1" s="1"/>
  <c r="M48" i="1" l="1"/>
  <c r="N47" i="1"/>
  <c r="T47" i="1" s="1"/>
  <c r="O50" i="1"/>
  <c r="J48" i="1"/>
  <c r="K47" i="1"/>
  <c r="S47" i="1" s="1"/>
  <c r="G49" i="1"/>
  <c r="H48" i="1"/>
  <c r="R48" i="1" s="1"/>
  <c r="O51" i="1" l="1"/>
  <c r="M49" i="1"/>
  <c r="N48" i="1"/>
  <c r="T48" i="1" s="1"/>
  <c r="J49" i="1"/>
  <c r="K48" i="1"/>
  <c r="S48" i="1" s="1"/>
  <c r="G50" i="1"/>
  <c r="H49" i="1"/>
  <c r="R49" i="1" s="1"/>
  <c r="M50" i="1" l="1"/>
  <c r="N49" i="1"/>
  <c r="T49" i="1" s="1"/>
  <c r="O52" i="1"/>
  <c r="J50" i="1"/>
  <c r="K49" i="1"/>
  <c r="S49" i="1" s="1"/>
  <c r="G51" i="1"/>
  <c r="H50" i="1"/>
  <c r="R50" i="1" s="1"/>
  <c r="O53" i="1" l="1"/>
  <c r="M51" i="1"/>
  <c r="N50" i="1"/>
  <c r="T50" i="1" s="1"/>
  <c r="J51" i="1"/>
  <c r="K50" i="1"/>
  <c r="S50" i="1" s="1"/>
  <c r="G52" i="1"/>
  <c r="H51" i="1"/>
  <c r="R51" i="1" s="1"/>
  <c r="M52" i="1" l="1"/>
  <c r="N51" i="1"/>
  <c r="T51" i="1" s="1"/>
  <c r="O54" i="1"/>
  <c r="J52" i="1"/>
  <c r="K51" i="1"/>
  <c r="S51" i="1" s="1"/>
  <c r="G53" i="1"/>
  <c r="H52" i="1"/>
  <c r="R52" i="1" s="1"/>
  <c r="O55" i="1" l="1"/>
  <c r="M53" i="1"/>
  <c r="N52" i="1"/>
  <c r="T52" i="1" s="1"/>
  <c r="J53" i="1"/>
  <c r="K52" i="1"/>
  <c r="S52" i="1" s="1"/>
  <c r="G54" i="1"/>
  <c r="H53" i="1"/>
  <c r="R53" i="1" s="1"/>
  <c r="M54" i="1" l="1"/>
  <c r="N53" i="1"/>
  <c r="T53" i="1" s="1"/>
  <c r="O56" i="1"/>
  <c r="J54" i="1"/>
  <c r="K53" i="1"/>
  <c r="S53" i="1" s="1"/>
  <c r="G55" i="1"/>
  <c r="H54" i="1"/>
  <c r="R54" i="1" s="1"/>
  <c r="M55" i="1" l="1"/>
  <c r="N54" i="1"/>
  <c r="T54" i="1" s="1"/>
  <c r="J55" i="1"/>
  <c r="K54" i="1"/>
  <c r="S54" i="1" s="1"/>
  <c r="G56" i="1"/>
  <c r="H55" i="1"/>
  <c r="R55" i="1" s="1"/>
  <c r="M56" i="1" l="1"/>
  <c r="N55" i="1"/>
  <c r="T55" i="1" s="1"/>
  <c r="J56" i="1"/>
  <c r="K55" i="1"/>
  <c r="S55" i="1" s="1"/>
  <c r="G57" i="1"/>
  <c r="H56" i="1"/>
  <c r="R56" i="1" s="1"/>
  <c r="M57" i="1" l="1"/>
  <c r="N56" i="1"/>
  <c r="T56" i="1" s="1"/>
  <c r="J57" i="1"/>
  <c r="K56" i="1"/>
  <c r="S56" i="1" s="1"/>
  <c r="G58" i="1"/>
  <c r="H57" i="1"/>
  <c r="R57" i="1" s="1"/>
  <c r="M58" i="1" l="1"/>
  <c r="N57" i="1"/>
  <c r="T57" i="1" s="1"/>
  <c r="J58" i="1"/>
  <c r="K57" i="1"/>
  <c r="S57" i="1" s="1"/>
  <c r="G59" i="1"/>
  <c r="H58" i="1"/>
  <c r="R58" i="1" s="1"/>
  <c r="M59" i="1" l="1"/>
  <c r="N58" i="1"/>
  <c r="T58" i="1" s="1"/>
  <c r="J59" i="1"/>
  <c r="K58" i="1"/>
  <c r="S58" i="1" s="1"/>
  <c r="G60" i="1"/>
  <c r="H59" i="1"/>
  <c r="R59" i="1" s="1"/>
  <c r="M60" i="1" l="1"/>
  <c r="N59" i="1"/>
  <c r="T59" i="1" s="1"/>
  <c r="J60" i="1"/>
  <c r="K59" i="1"/>
  <c r="S59" i="1" s="1"/>
  <c r="G61" i="1"/>
  <c r="H60" i="1"/>
  <c r="R60" i="1" s="1"/>
  <c r="M61" i="1" l="1"/>
  <c r="N60" i="1"/>
  <c r="T60" i="1" s="1"/>
  <c r="J61" i="1"/>
  <c r="K60" i="1"/>
  <c r="S60" i="1" s="1"/>
  <c r="G62" i="1"/>
  <c r="H61" i="1"/>
  <c r="R61" i="1" s="1"/>
  <c r="M62" i="1" l="1"/>
  <c r="N61" i="1"/>
  <c r="T61" i="1" s="1"/>
  <c r="J62" i="1"/>
  <c r="K61" i="1"/>
  <c r="S61" i="1" s="1"/>
  <c r="G63" i="1"/>
  <c r="H62" i="1"/>
  <c r="R62" i="1" s="1"/>
  <c r="M63" i="1" l="1"/>
  <c r="N62" i="1"/>
  <c r="T62" i="1" s="1"/>
  <c r="J63" i="1"/>
  <c r="K62" i="1"/>
  <c r="S62" i="1" s="1"/>
  <c r="G64" i="1"/>
  <c r="H64" i="1" s="1"/>
  <c r="R64" i="1" s="1"/>
  <c r="H63" i="1"/>
  <c r="R63" i="1" s="1"/>
  <c r="M64" i="1" l="1"/>
  <c r="N64" i="1" s="1"/>
  <c r="T64" i="1" s="1"/>
  <c r="N63" i="1"/>
  <c r="T63" i="1" s="1"/>
  <c r="J64" i="1"/>
  <c r="K64" i="1" s="1"/>
  <c r="S64" i="1" s="1"/>
  <c r="K63" i="1"/>
  <c r="S63" i="1" s="1"/>
</calcChain>
</file>

<file path=xl/sharedStrings.xml><?xml version="1.0" encoding="utf-8"?>
<sst xmlns="http://schemas.openxmlformats.org/spreadsheetml/2006/main" count="114" uniqueCount="22">
  <si>
    <t>Country</t>
  </si>
  <si>
    <t>Year</t>
  </si>
  <si>
    <t>Cuba</t>
  </si>
  <si>
    <t>adj_mad23</t>
  </si>
  <si>
    <t>transfers %</t>
  </si>
  <si>
    <t>Current Year Transfert</t>
  </si>
  <si>
    <t>delta =0.2, beta=1</t>
  </si>
  <si>
    <t>S_bar delta=0.2</t>
  </si>
  <si>
    <t>beta=1; delta=0.2</t>
  </si>
  <si>
    <t>S_bar delta=0.05</t>
  </si>
  <si>
    <t>beta=0.8; delta=0.05</t>
  </si>
  <si>
    <t>delta =0.05, beta=0.8</t>
  </si>
  <si>
    <t>delta =0.05, beta=varying linearly</t>
  </si>
  <si>
    <t>GDP Adjusted (Baseline)</t>
  </si>
  <si>
    <t>GDP (A&gt;1)</t>
  </si>
  <si>
    <t>GDP (A&lt;1)</t>
  </si>
  <si>
    <t>GDP (A&lt;1 initially, A&gt;1 later)</t>
  </si>
  <si>
    <t>country</t>
  </si>
  <si>
    <t>year</t>
  </si>
  <si>
    <t>gdp_agt1</t>
  </si>
  <si>
    <t>gdp_alt1</t>
  </si>
  <si>
    <t>gdp_amix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</si>
</sst>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GDP Adjusted (Baseline)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Sheet1!$B$36:$B$64</c:f>
              <c:numCache>
                <c:formatCode>General</c:formatCode>
                <c:ptCount val="29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</c:numCache>
            </c:numRef>
          </c:cat>
          <c:val>
            <c:numRef>
              <c:f>Sheet1!$Q$36:$Q$64</c:f>
              <c:numCache>
                <c:formatCode>General</c:formatCode>
                <c:ptCount val="29"/>
                <c:pt idx="0">
                  <c:v>2748.1410000000001</c:v>
                </c:pt>
                <c:pt idx="1">
                  <c:v>2237.0832</c:v>
                </c:pt>
                <c:pt idx="2">
                  <c:v>2111.145</c:v>
                </c:pt>
                <c:pt idx="3">
                  <c:v>2391.3648000000003</c:v>
                </c:pt>
                <c:pt idx="4">
                  <c:v>2287.9260000000004</c:v>
                </c:pt>
                <c:pt idx="5">
                  <c:v>2060.5944</c:v>
                </c:pt>
                <c:pt idx="6">
                  <c:v>2204.3568</c:v>
                </c:pt>
                <c:pt idx="7">
                  <c:v>2080.4639999999999</c:v>
                </c:pt>
                <c:pt idx="8">
                  <c:v>2061.471</c:v>
                </c:pt>
                <c:pt idx="9">
                  <c:v>2366.8200000000002</c:v>
                </c:pt>
                <c:pt idx="10">
                  <c:v>2111.145</c:v>
                </c:pt>
                <c:pt idx="11">
                  <c:v>2085.7236000000003</c:v>
                </c:pt>
                <c:pt idx="12">
                  <c:v>2287.9259999999999</c:v>
                </c:pt>
                <c:pt idx="13">
                  <c:v>2659.02</c:v>
                </c:pt>
                <c:pt idx="14">
                  <c:v>2603.5020000000004</c:v>
                </c:pt>
                <c:pt idx="15">
                  <c:v>2454.48</c:v>
                </c:pt>
                <c:pt idx="16">
                  <c:v>2377.6313999999998</c:v>
                </c:pt>
                <c:pt idx="17">
                  <c:v>2484.2844</c:v>
                </c:pt>
                <c:pt idx="18">
                  <c:v>2571.3599999999997</c:v>
                </c:pt>
                <c:pt idx="19">
                  <c:v>2532.4974000000002</c:v>
                </c:pt>
                <c:pt idx="20">
                  <c:v>2553.8280000000004</c:v>
                </c:pt>
                <c:pt idx="21">
                  <c:v>2431.6884</c:v>
                </c:pt>
                <c:pt idx="22">
                  <c:v>2406.5592000000001</c:v>
                </c:pt>
                <c:pt idx="23">
                  <c:v>2637.9816000000001</c:v>
                </c:pt>
                <c:pt idx="24">
                  <c:v>2681.2272000000003</c:v>
                </c:pt>
                <c:pt idx="25">
                  <c:v>2767.4261999999999</c:v>
                </c:pt>
                <c:pt idx="26">
                  <c:v>2632.4297999999999</c:v>
                </c:pt>
                <c:pt idx="27">
                  <c:v>2746.9722000000002</c:v>
                </c:pt>
                <c:pt idx="28">
                  <c:v>2758.3679999999999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1-4430-88CE-1B1058F0CFDB}"/>
            </c:ext>
          </c:extLst>
        </c:ser>
        <c:ser>
          <c:idx val="1"/>
          <c:order val="1"/>
          <c:tx>
            <c:strRef>
              <c:f>Sheet1!$R$2</c:f>
              <c:strCache>
                <c:ptCount val="1"/>
                <c:pt idx="0">
                  <c:v>GDP (A&gt;1)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Sheet1!$B$36:$B$64</c:f>
              <c:numCache>
                <c:formatCode>General</c:formatCode>
                <c:ptCount val="29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</c:numCache>
            </c:numRef>
          </c:cat>
          <c:val>
            <c:numRef>
              <c:f>Sheet1!$R$36:$R$64</c:f>
              <c:numCache>
                <c:formatCode>General</c:formatCode>
                <c:ptCount val="29"/>
                <c:pt idx="0">
                  <c:v>2748.1410000000001</c:v>
                </c:pt>
                <c:pt idx="1">
                  <c:v>2208.1554000000001</c:v>
                </c:pt>
                <c:pt idx="2">
                  <c:v>2038.5040799999999</c:v>
                </c:pt>
                <c:pt idx="3">
                  <c:v>2302.3256160000001</c:v>
                </c:pt>
                <c:pt idx="4">
                  <c:v>2234.1191232000001</c:v>
                </c:pt>
                <c:pt idx="5">
                  <c:v>1981.45822464</c:v>
                </c:pt>
                <c:pt idx="6">
                  <c:v>2098.0644449279998</c:v>
                </c:pt>
                <c:pt idx="7">
                  <c:v>1962.4288889856</c:v>
                </c:pt>
                <c:pt idx="8">
                  <c:v>1933.8407777971197</c:v>
                </c:pt>
                <c:pt idx="9">
                  <c:v>2256.8481555594244</c:v>
                </c:pt>
                <c:pt idx="10">
                  <c:v>2036.5546311118846</c:v>
                </c:pt>
                <c:pt idx="11">
                  <c:v>1996.294526222377</c:v>
                </c:pt>
                <c:pt idx="12">
                  <c:v>2202.1329052444753</c:v>
                </c:pt>
                <c:pt idx="13">
                  <c:v>2591.0185810488952</c:v>
                </c:pt>
                <c:pt idx="14">
                  <c:v>2589.9017162097794</c:v>
                </c:pt>
                <c:pt idx="15">
                  <c:v>2393.9043432419558</c:v>
                </c:pt>
                <c:pt idx="16">
                  <c:v>2272.012268648391</c:v>
                </c:pt>
                <c:pt idx="17">
                  <c:v>2336.754853729678</c:v>
                </c:pt>
                <c:pt idx="18">
                  <c:v>2401.7149707459353</c:v>
                </c:pt>
                <c:pt idx="19">
                  <c:v>2370.0003941491868</c:v>
                </c:pt>
                <c:pt idx="20">
                  <c:v>2402.5200788298375</c:v>
                </c:pt>
                <c:pt idx="21">
                  <c:v>2240.1324157659674</c:v>
                </c:pt>
                <c:pt idx="22">
                  <c:v>2188.3696831531934</c:v>
                </c:pt>
                <c:pt idx="23">
                  <c:v>2397.7515366306388</c:v>
                </c:pt>
                <c:pt idx="24">
                  <c:v>2447.8095073261279</c:v>
                </c:pt>
                <c:pt idx="25">
                  <c:v>2532.3321014652256</c:v>
                </c:pt>
                <c:pt idx="26">
                  <c:v>2420.0842202930448</c:v>
                </c:pt>
                <c:pt idx="27">
                  <c:v>2547.2410440586091</c:v>
                </c:pt>
                <c:pt idx="28">
                  <c:v>2572.3802088117218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D1-4430-88CE-1B1058F0CFDB}"/>
            </c:ext>
          </c:extLst>
        </c:ser>
        <c:ser>
          <c:idx val="2"/>
          <c:order val="2"/>
          <c:tx>
            <c:strRef>
              <c:f>Sheet1!$S$2</c:f>
              <c:strCache>
                <c:ptCount val="1"/>
                <c:pt idx="0">
                  <c:v>GDP (A&lt;1)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Sheet1!$B$36:$B$64</c:f>
              <c:numCache>
                <c:formatCode>General</c:formatCode>
                <c:ptCount val="29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</c:numCache>
            </c:numRef>
          </c:cat>
          <c:val>
            <c:numRef>
              <c:f>Sheet1!$S$36:$S$64</c:f>
              <c:numCache>
                <c:formatCode>General</c:formatCode>
                <c:ptCount val="29"/>
                <c:pt idx="0">
                  <c:v>2777.0688</c:v>
                </c:pt>
                <c:pt idx="1">
                  <c:v>2298.1530000000002</c:v>
                </c:pt>
                <c:pt idx="2">
                  <c:v>2171.9956499999998</c:v>
                </c:pt>
                <c:pt idx="3">
                  <c:v>2411.7786225</c:v>
                </c:pt>
                <c:pt idx="4">
                  <c:v>2348.321731125</c:v>
                </c:pt>
                <c:pt idx="5">
                  <c:v>2136.9856065562499</c:v>
                </c:pt>
                <c:pt idx="6">
                  <c:v>2282.3367203278121</c:v>
                </c:pt>
                <c:pt idx="7">
                  <c:v>2164.1920360163904</c:v>
                </c:pt>
                <c:pt idx="8">
                  <c:v>2124.0974018008192</c:v>
                </c:pt>
                <c:pt idx="9">
                  <c:v>2401.4358700900411</c:v>
                </c:pt>
                <c:pt idx="10">
                  <c:v>2174.237793504502</c:v>
                </c:pt>
                <c:pt idx="11">
                  <c:v>2138.1577696752252</c:v>
                </c:pt>
                <c:pt idx="12">
                  <c:v>2324.4136884837612</c:v>
                </c:pt>
                <c:pt idx="13">
                  <c:v>2648.1336844241882</c:v>
                </c:pt>
                <c:pt idx="14">
                  <c:v>2660.8132842212094</c:v>
                </c:pt>
                <c:pt idx="15">
                  <c:v>2536.3856642110604</c:v>
                </c:pt>
                <c:pt idx="16">
                  <c:v>2484.7564032105529</c:v>
                </c:pt>
                <c:pt idx="17">
                  <c:v>2598.1783401605276</c:v>
                </c:pt>
                <c:pt idx="18">
                  <c:v>2670.5879170080261</c:v>
                </c:pt>
                <c:pt idx="19">
                  <c:v>2624.1253158504014</c:v>
                </c:pt>
                <c:pt idx="20">
                  <c:v>2690.0016657925203</c:v>
                </c:pt>
                <c:pt idx="21">
                  <c:v>2578.0518032896257</c:v>
                </c:pt>
                <c:pt idx="22">
                  <c:v>2565.4999501644811</c:v>
                </c:pt>
                <c:pt idx="23">
                  <c:v>2782.152277508224</c:v>
                </c:pt>
                <c:pt idx="24">
                  <c:v>2830.5033738754114</c:v>
                </c:pt>
                <c:pt idx="25">
                  <c:v>2893.1141286937705</c:v>
                </c:pt>
                <c:pt idx="26">
                  <c:v>2754.6445464346884</c:v>
                </c:pt>
                <c:pt idx="27">
                  <c:v>2859.8089873217341</c:v>
                </c:pt>
                <c:pt idx="28">
                  <c:v>2865.4178493660866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D1-4430-88CE-1B1058F0CFDB}"/>
            </c:ext>
          </c:extLst>
        </c:ser>
        <c:ser>
          <c:idx val="3"/>
          <c:order val="3"/>
          <c:tx>
            <c:strRef>
              <c:f>Sheet1!$T$2</c:f>
              <c:strCache>
                <c:ptCount val="1"/>
                <c:pt idx="0">
                  <c:v>GDP (A&lt;1 initially, A&gt;1 later)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Sheet1!$B$36:$B$64</c:f>
              <c:numCache>
                <c:formatCode>General</c:formatCode>
                <c:ptCount val="29"/>
                <c:pt idx="0">
                  <c:v>1961</c:v>
                </c:pt>
                <c:pt idx="1">
                  <c:v>1962</c:v>
                </c:pt>
                <c:pt idx="2">
                  <c:v>1963</c:v>
                </c:pt>
                <c:pt idx="3">
                  <c:v>1964</c:v>
                </c:pt>
                <c:pt idx="4">
                  <c:v>1965</c:v>
                </c:pt>
                <c:pt idx="5">
                  <c:v>1966</c:v>
                </c:pt>
                <c:pt idx="6">
                  <c:v>1967</c:v>
                </c:pt>
                <c:pt idx="7">
                  <c:v>1968</c:v>
                </c:pt>
                <c:pt idx="8">
                  <c:v>1969</c:v>
                </c:pt>
                <c:pt idx="9">
                  <c:v>1970</c:v>
                </c:pt>
                <c:pt idx="10">
                  <c:v>1971</c:v>
                </c:pt>
                <c:pt idx="11">
                  <c:v>1972</c:v>
                </c:pt>
                <c:pt idx="12">
                  <c:v>1973</c:v>
                </c:pt>
                <c:pt idx="13">
                  <c:v>1974</c:v>
                </c:pt>
                <c:pt idx="14">
                  <c:v>1975</c:v>
                </c:pt>
                <c:pt idx="15">
                  <c:v>1976</c:v>
                </c:pt>
                <c:pt idx="16">
                  <c:v>1977</c:v>
                </c:pt>
                <c:pt idx="17">
                  <c:v>1978</c:v>
                </c:pt>
                <c:pt idx="18">
                  <c:v>1979</c:v>
                </c:pt>
                <c:pt idx="19">
                  <c:v>1980</c:v>
                </c:pt>
                <c:pt idx="20">
                  <c:v>1981</c:v>
                </c:pt>
                <c:pt idx="21">
                  <c:v>1982</c:v>
                </c:pt>
                <c:pt idx="22">
                  <c:v>1983</c:v>
                </c:pt>
                <c:pt idx="23">
                  <c:v>1984</c:v>
                </c:pt>
                <c:pt idx="24">
                  <c:v>1985</c:v>
                </c:pt>
                <c:pt idx="25">
                  <c:v>1986</c:v>
                </c:pt>
                <c:pt idx="26">
                  <c:v>1987</c:v>
                </c:pt>
                <c:pt idx="27">
                  <c:v>1988</c:v>
                </c:pt>
                <c:pt idx="28">
                  <c:v>1989</c:v>
                </c:pt>
              </c:numCache>
            </c:numRef>
          </c:cat>
          <c:val>
            <c:numRef>
              <c:f>Sheet1!$T$36:$T$64</c:f>
              <c:numCache>
                <c:formatCode>General</c:formatCode>
                <c:ptCount val="29"/>
                <c:pt idx="0">
                  <c:v>2805.9966000000004</c:v>
                </c:pt>
                <c:pt idx="1">
                  <c:v>2346.1731480000003</c:v>
                </c:pt>
                <c:pt idx="2">
                  <c:v>2198.7746112</c:v>
                </c:pt>
                <c:pt idx="3">
                  <c:v>2393.7973065599999</c:v>
                </c:pt>
                <c:pt idx="4">
                  <c:v>2360.7370037760002</c:v>
                </c:pt>
                <c:pt idx="5">
                  <c:v>2140.8967572480001</c:v>
                </c:pt>
                <c:pt idx="6">
                  <c:v>2263.3136003481595</c:v>
                </c:pt>
                <c:pt idx="7">
                  <c:v>2128.3481778493438</c:v>
                </c:pt>
                <c:pt idx="8">
                  <c:v>2065.8069911258108</c:v>
                </c:pt>
                <c:pt idx="9">
                  <c:v>2338.8975613363509</c:v>
                </c:pt>
                <c:pt idx="10">
                  <c:v>2125.9837048895079</c:v>
                </c:pt>
                <c:pt idx="11">
                  <c:v>2073.508311502349</c:v>
                </c:pt>
                <c:pt idx="12">
                  <c:v>2256.5340404053591</c:v>
                </c:pt>
                <c:pt idx="13">
                  <c:v>2600.5387797020499</c:v>
                </c:pt>
                <c:pt idx="14">
                  <c:v>2626.2471102646055</c:v>
                </c:pt>
                <c:pt idx="15">
                  <c:v>2446.7139089177599</c:v>
                </c:pt>
                <c:pt idx="16">
                  <c:v>2331.0240871565193</c:v>
                </c:pt>
                <c:pt idx="17">
                  <c:v>2387.6483625058972</c:v>
                </c:pt>
                <c:pt idx="18">
                  <c:v>2434.2143719160977</c:v>
                </c:pt>
                <c:pt idx="19">
                  <c:v>2385.1311862662033</c:v>
                </c:pt>
                <c:pt idx="20">
                  <c:v>2402.5200788298375</c:v>
                </c:pt>
                <c:pt idx="21">
                  <c:v>2240.1324157659674</c:v>
                </c:pt>
                <c:pt idx="22">
                  <c:v>2188.3696831531934</c:v>
                </c:pt>
                <c:pt idx="23">
                  <c:v>2397.7515366306388</c:v>
                </c:pt>
                <c:pt idx="24">
                  <c:v>2447.8095073261279</c:v>
                </c:pt>
                <c:pt idx="25">
                  <c:v>2532.3321014652256</c:v>
                </c:pt>
                <c:pt idx="26">
                  <c:v>2420.0842202930448</c:v>
                </c:pt>
                <c:pt idx="27">
                  <c:v>2547.2410440586091</c:v>
                </c:pt>
                <c:pt idx="28">
                  <c:v>2572.3802088117218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1-4430-88CE-1B1058F0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433568"/>
        <c:axId val="1177434048"/>
      </c:lineChart>
      <c:catAx>
        <c:axId val="11774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34048"/>
        <c:crosses val="autoZero"/>
        <c:auto val="1"/>
        <c:lblAlgn val="ctr"/>
        <c:lblOffset val="100"/>
        <c:noMultiLvlLbl val="0"/>
      </c:catAx>
      <c:valAx>
        <c:axId val="1177434048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485774</xdr:colOff>
      <xdr:row>8</xdr:row>
      <xdr:rowOff>173036</xdr:rowOff>
    </xdr:from>
    <xdr:to>
      <xdr:col>30</xdr:col>
      <xdr:colOff>606425</xdr:colOff>
      <xdr:row>33</xdr:row>
      <xdr:rowOff>117475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5391A0-5B71-60B5-380E-F4177A4F8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2B1F-32AB-42F6-A259-75C9098546FA}">
  <dimension ref="A1:T64"/>
  <sheetViews>
    <sheetView workbookViewId="0">
      <selection activeCell="A2" sqref="A2:B2"/>
    </sheetView>
  </sheetViews>
  <sheetFormatPr baseColWidth="10" defaultColWidth="8.83203125" defaultRowHeight="15" x14ac:dyDescent="0.2"/>
  <cols>
    <col min="3" max="3" width="15.83203125" customWidth="1"/>
    <col min="4" max="4" width="14.6640625" customWidth="1"/>
    <col min="5" max="5" width="13.6640625" customWidth="1"/>
    <col min="7" max="7" width="14" bestFit="1" customWidth="1"/>
    <col min="17" max="17" width="19.1640625" bestFit="1" customWidth="1"/>
    <col min="18" max="19" width="12.1640625" bestFit="1" customWidth="1"/>
    <col min="20" max="20" width="22.6640625" bestFit="1" customWidth="1"/>
  </cols>
  <sheetData>
    <row r="1" spans="1:20" x14ac:dyDescent="0.2">
      <c r="G1" s="3" t="s">
        <v>8</v>
      </c>
      <c r="H1" s="3"/>
      <c r="I1" s="2"/>
      <c r="J1" s="3" t="s">
        <v>10</v>
      </c>
      <c r="K1" s="3"/>
      <c r="L1" s="2"/>
      <c r="M1" s="3" t="s">
        <v>10</v>
      </c>
      <c r="N1" s="3"/>
    </row>
    <row r="2" spans="1:20" ht="16" x14ac:dyDescent="0.2">
      <c r="A2" t="s">
        <v>0</v>
      </c>
      <c r="B2" s="1" t="s">
        <v>1</v>
      </c>
      <c r="C2" t="s">
        <v>3</v>
      </c>
      <c r="D2" s="1" t="s">
        <v>4</v>
      </c>
      <c r="E2" t="s">
        <v>5</v>
      </c>
      <c r="F2" s="1"/>
      <c r="G2" s="1" t="s">
        <v>7</v>
      </c>
      <c r="H2" t="s">
        <v>6</v>
      </c>
      <c r="J2" s="1" t="s">
        <v>9</v>
      </c>
      <c r="K2" t="s">
        <v>11</v>
      </c>
      <c r="M2" s="1" t="s">
        <v>7</v>
      </c>
      <c r="N2" t="s">
        <v>12</v>
      </c>
      <c r="Q2" t="s">
        <v>13</v>
      </c>
      <c r="R2" t="s">
        <v>14</v>
      </c>
      <c r="S2" t="s">
        <v>15</v>
      </c>
      <c r="T2" t="s">
        <v>16</v>
      </c>
    </row>
    <row r="3" spans="1:20" ht="16" x14ac:dyDescent="0.2">
      <c r="A3" t="s">
        <v>2</v>
      </c>
      <c r="B3" s="1">
        <v>1928</v>
      </c>
      <c r="C3" s="1">
        <v>2275</v>
      </c>
      <c r="D3" s="1"/>
    </row>
    <row r="4" spans="1:20" ht="16" x14ac:dyDescent="0.2">
      <c r="A4" s="1" t="s">
        <v>2</v>
      </c>
      <c r="B4" s="1">
        <v>1929</v>
      </c>
      <c r="C4">
        <v>2507</v>
      </c>
    </row>
    <row r="5" spans="1:20" ht="16" x14ac:dyDescent="0.2">
      <c r="A5" s="1" t="s">
        <v>2</v>
      </c>
      <c r="B5" s="1">
        <v>1930</v>
      </c>
      <c r="C5">
        <v>2378</v>
      </c>
    </row>
    <row r="6" spans="1:20" ht="16" x14ac:dyDescent="0.2">
      <c r="A6" s="1" t="s">
        <v>2</v>
      </c>
      <c r="B6" s="1">
        <v>1931</v>
      </c>
      <c r="C6">
        <v>1758</v>
      </c>
    </row>
    <row r="7" spans="1:20" ht="16" x14ac:dyDescent="0.2">
      <c r="A7" s="1" t="s">
        <v>2</v>
      </c>
      <c r="B7" s="1">
        <v>1932</v>
      </c>
      <c r="C7">
        <v>1629</v>
      </c>
    </row>
    <row r="8" spans="1:20" ht="16" x14ac:dyDescent="0.2">
      <c r="A8" s="1" t="s">
        <v>2</v>
      </c>
      <c r="B8" s="1">
        <v>1933</v>
      </c>
      <c r="C8">
        <v>1551</v>
      </c>
    </row>
    <row r="9" spans="1:20" ht="16" x14ac:dyDescent="0.2">
      <c r="A9" s="1" t="s">
        <v>2</v>
      </c>
      <c r="B9" s="1">
        <v>1934</v>
      </c>
      <c r="C9">
        <v>1680</v>
      </c>
    </row>
    <row r="10" spans="1:20" ht="16" x14ac:dyDescent="0.2">
      <c r="A10" s="1" t="s">
        <v>2</v>
      </c>
      <c r="B10" s="1">
        <v>1935</v>
      </c>
      <c r="C10">
        <v>1809</v>
      </c>
    </row>
    <row r="11" spans="1:20" ht="16" x14ac:dyDescent="0.2">
      <c r="A11" s="1" t="s">
        <v>2</v>
      </c>
      <c r="B11" s="1">
        <v>1936</v>
      </c>
      <c r="C11">
        <v>1913</v>
      </c>
    </row>
    <row r="12" spans="1:20" ht="16" x14ac:dyDescent="0.2">
      <c r="A12" s="1" t="s">
        <v>2</v>
      </c>
      <c r="B12" s="1">
        <v>1937</v>
      </c>
      <c r="C12">
        <v>2042</v>
      </c>
    </row>
    <row r="13" spans="1:20" ht="16" x14ac:dyDescent="0.2">
      <c r="A13" s="1" t="s">
        <v>2</v>
      </c>
      <c r="B13" s="1">
        <v>1938</v>
      </c>
      <c r="C13">
        <v>2069</v>
      </c>
    </row>
    <row r="14" spans="1:20" ht="16" x14ac:dyDescent="0.2">
      <c r="A14" s="1" t="s">
        <v>2</v>
      </c>
      <c r="B14" s="1">
        <v>1939</v>
      </c>
      <c r="C14">
        <v>2042</v>
      </c>
    </row>
    <row r="15" spans="1:20" ht="16" x14ac:dyDescent="0.2">
      <c r="A15" s="1" t="s">
        <v>2</v>
      </c>
      <c r="B15" s="1">
        <v>1940</v>
      </c>
      <c r="C15">
        <v>2069</v>
      </c>
    </row>
    <row r="16" spans="1:20" ht="16" x14ac:dyDescent="0.2">
      <c r="A16" s="1" t="s">
        <v>2</v>
      </c>
      <c r="B16" s="1">
        <v>1941</v>
      </c>
      <c r="C16">
        <v>2198</v>
      </c>
    </row>
    <row r="17" spans="1:3" ht="16" x14ac:dyDescent="0.2">
      <c r="A17" s="1" t="s">
        <v>2</v>
      </c>
      <c r="B17" s="1">
        <v>1942</v>
      </c>
      <c r="C17">
        <v>2198</v>
      </c>
    </row>
    <row r="18" spans="1:3" ht="16" x14ac:dyDescent="0.2">
      <c r="A18" s="1" t="s">
        <v>2</v>
      </c>
      <c r="B18" s="1">
        <v>1943</v>
      </c>
      <c r="C18">
        <v>2069</v>
      </c>
    </row>
    <row r="19" spans="1:3" ht="16" x14ac:dyDescent="0.2">
      <c r="A19" s="1" t="s">
        <v>2</v>
      </c>
      <c r="B19" s="1">
        <v>1944</v>
      </c>
      <c r="C19">
        <v>2275</v>
      </c>
    </row>
    <row r="20" spans="1:3" ht="16" x14ac:dyDescent="0.2">
      <c r="A20" s="1" t="s">
        <v>2</v>
      </c>
      <c r="B20" s="1">
        <v>1945</v>
      </c>
      <c r="C20">
        <v>2275</v>
      </c>
    </row>
    <row r="21" spans="1:3" ht="16" x14ac:dyDescent="0.2">
      <c r="A21" s="1" t="s">
        <v>2</v>
      </c>
      <c r="B21" s="1">
        <v>1946</v>
      </c>
      <c r="C21">
        <v>2405</v>
      </c>
    </row>
    <row r="22" spans="1:3" ht="16" x14ac:dyDescent="0.2">
      <c r="A22" s="1" t="s">
        <v>2</v>
      </c>
      <c r="B22" s="1">
        <v>1947</v>
      </c>
      <c r="C22">
        <v>2560</v>
      </c>
    </row>
    <row r="23" spans="1:3" ht="16" x14ac:dyDescent="0.2">
      <c r="A23" s="1" t="s">
        <v>2</v>
      </c>
      <c r="B23" s="1">
        <v>1948</v>
      </c>
      <c r="C23">
        <v>2507</v>
      </c>
    </row>
    <row r="24" spans="1:3" ht="16" x14ac:dyDescent="0.2">
      <c r="A24" s="1" t="s">
        <v>2</v>
      </c>
      <c r="B24" s="1">
        <v>1949</v>
      </c>
      <c r="C24">
        <v>2482</v>
      </c>
    </row>
    <row r="25" spans="1:3" ht="16" x14ac:dyDescent="0.2">
      <c r="A25" s="1" t="s">
        <v>2</v>
      </c>
      <c r="B25" s="1">
        <v>1950</v>
      </c>
      <c r="C25">
        <v>2638</v>
      </c>
    </row>
    <row r="26" spans="1:3" ht="16" x14ac:dyDescent="0.2">
      <c r="A26" s="1" t="s">
        <v>2</v>
      </c>
      <c r="B26" s="1">
        <v>1951</v>
      </c>
      <c r="C26">
        <v>2664</v>
      </c>
    </row>
    <row r="27" spans="1:3" ht="16" x14ac:dyDescent="0.2">
      <c r="A27" s="1" t="s">
        <v>2</v>
      </c>
      <c r="B27" s="1">
        <v>1952</v>
      </c>
      <c r="C27">
        <v>2844</v>
      </c>
    </row>
    <row r="28" spans="1:3" ht="16" x14ac:dyDescent="0.2">
      <c r="A28" s="1" t="s">
        <v>2</v>
      </c>
      <c r="B28" s="1">
        <v>1953</v>
      </c>
      <c r="C28">
        <v>2611</v>
      </c>
    </row>
    <row r="29" spans="1:3" ht="16" x14ac:dyDescent="0.2">
      <c r="A29" s="1" t="s">
        <v>2</v>
      </c>
      <c r="B29" s="1">
        <v>1954</v>
      </c>
      <c r="C29">
        <v>2611</v>
      </c>
    </row>
    <row r="30" spans="1:3" ht="16" x14ac:dyDescent="0.2">
      <c r="A30" s="1" t="s">
        <v>2</v>
      </c>
      <c r="B30" s="1">
        <v>1955</v>
      </c>
      <c r="C30">
        <v>2638</v>
      </c>
    </row>
    <row r="31" spans="1:3" ht="16" x14ac:dyDescent="0.2">
      <c r="A31" s="1" t="s">
        <v>2</v>
      </c>
      <c r="B31" s="1">
        <v>1956</v>
      </c>
      <c r="C31">
        <v>2740</v>
      </c>
    </row>
    <row r="32" spans="1:3" ht="16" x14ac:dyDescent="0.2">
      <c r="A32" s="1" t="s">
        <v>2</v>
      </c>
      <c r="B32" s="1">
        <v>1957</v>
      </c>
      <c r="C32">
        <v>2922</v>
      </c>
    </row>
    <row r="33" spans="1:20" ht="16" x14ac:dyDescent="0.2">
      <c r="A33" s="1" t="s">
        <v>2</v>
      </c>
      <c r="B33" s="1">
        <v>1958</v>
      </c>
      <c r="C33">
        <v>2834.34</v>
      </c>
    </row>
    <row r="34" spans="1:20" ht="16" x14ac:dyDescent="0.2">
      <c r="A34" s="1" t="s">
        <v>2</v>
      </c>
      <c r="B34" s="1">
        <v>1959</v>
      </c>
      <c r="C34">
        <v>2805.12</v>
      </c>
    </row>
    <row r="35" spans="1:20" ht="16" x14ac:dyDescent="0.2">
      <c r="A35" s="1" t="s">
        <v>2</v>
      </c>
      <c r="B35" s="1">
        <v>1960</v>
      </c>
      <c r="C35">
        <v>2775.9</v>
      </c>
    </row>
    <row r="36" spans="1:20" ht="16" x14ac:dyDescent="0.2">
      <c r="A36" s="1" t="s">
        <v>2</v>
      </c>
      <c r="B36" s="1">
        <v>1961</v>
      </c>
      <c r="C36">
        <v>2892.78</v>
      </c>
      <c r="D36">
        <v>0.05</v>
      </c>
      <c r="E36">
        <f>C36*D36</f>
        <v>144.63900000000001</v>
      </c>
      <c r="G36">
        <f>E36</f>
        <v>144.63900000000001</v>
      </c>
      <c r="H36">
        <f>1*G36</f>
        <v>144.63900000000001</v>
      </c>
      <c r="J36">
        <f>G36</f>
        <v>144.63900000000001</v>
      </c>
      <c r="K36">
        <f>0.8*J36</f>
        <v>115.71120000000002</v>
      </c>
      <c r="M36">
        <f>E36</f>
        <v>144.63900000000001</v>
      </c>
      <c r="N36">
        <f>O36*M36</f>
        <v>86.7834</v>
      </c>
      <c r="O36">
        <v>0.6</v>
      </c>
      <c r="Q36">
        <f>C36-E36</f>
        <v>2748.1410000000001</v>
      </c>
      <c r="R36">
        <f>C36-H36</f>
        <v>2748.1410000000001</v>
      </c>
      <c r="S36">
        <f>C36-K36</f>
        <v>2777.0688</v>
      </c>
      <c r="T36">
        <f>C36-N36</f>
        <v>2805.9966000000004</v>
      </c>
    </row>
    <row r="37" spans="1:20" ht="16" x14ac:dyDescent="0.2">
      <c r="A37" s="1" t="s">
        <v>2</v>
      </c>
      <c r="B37" s="1">
        <v>1962</v>
      </c>
      <c r="C37">
        <v>2571.36</v>
      </c>
      <c r="D37">
        <v>0.13</v>
      </c>
      <c r="E37">
        <f t="shared" ref="E37:E64" si="0">C37*D37</f>
        <v>334.27680000000004</v>
      </c>
      <c r="G37">
        <f t="shared" ref="G37:G64" si="1">E37+G36*0.2</f>
        <v>363.20460000000003</v>
      </c>
      <c r="H37">
        <f>1*G37</f>
        <v>363.20460000000003</v>
      </c>
      <c r="J37">
        <f t="shared" ref="J37:J64" si="2">E37+J36*0.05</f>
        <v>341.50875000000002</v>
      </c>
      <c r="K37">
        <f t="shared" ref="K37:K64" si="3">0.8*J37</f>
        <v>273.20700000000005</v>
      </c>
      <c r="M37">
        <f>E37+M36*0.2</f>
        <v>363.20460000000003</v>
      </c>
      <c r="N37">
        <f t="shared" ref="N37:N64" si="4">O37*M37</f>
        <v>225.18685200000002</v>
      </c>
      <c r="O37">
        <f>O36+0.02</f>
        <v>0.62</v>
      </c>
      <c r="Q37">
        <f t="shared" ref="Q37:Q64" si="5">C37-E37</f>
        <v>2237.0832</v>
      </c>
      <c r="R37">
        <f t="shared" ref="R37:R64" si="6">C37-H37</f>
        <v>2208.1554000000001</v>
      </c>
      <c r="S37">
        <f t="shared" ref="S37:S64" si="7">C37-K37</f>
        <v>2298.1530000000002</v>
      </c>
      <c r="T37">
        <f t="shared" ref="T37:T64" si="8">C37-N37</f>
        <v>2346.1731480000003</v>
      </c>
    </row>
    <row r="38" spans="1:20" ht="16" x14ac:dyDescent="0.2">
      <c r="A38" s="1" t="s">
        <v>2</v>
      </c>
      <c r="B38" s="1">
        <v>1963</v>
      </c>
      <c r="C38">
        <v>2483.6999999999998</v>
      </c>
      <c r="D38">
        <v>0.15</v>
      </c>
      <c r="E38">
        <f t="shared" si="0"/>
        <v>372.55499999999995</v>
      </c>
      <c r="G38">
        <f t="shared" si="1"/>
        <v>445.19591999999994</v>
      </c>
      <c r="H38">
        <f t="shared" ref="H38:H64" si="9">1*G38</f>
        <v>445.19591999999994</v>
      </c>
      <c r="J38">
        <f t="shared" si="2"/>
        <v>389.63043749999997</v>
      </c>
      <c r="K38">
        <f t="shared" si="3"/>
        <v>311.70434999999998</v>
      </c>
      <c r="M38">
        <f>E38+M37*0.2</f>
        <v>445.19591999999994</v>
      </c>
      <c r="N38">
        <f t="shared" si="4"/>
        <v>284.92538879999995</v>
      </c>
      <c r="O38">
        <f t="shared" ref="O38:O49" si="10">O37+0.02</f>
        <v>0.64</v>
      </c>
      <c r="Q38">
        <f t="shared" si="5"/>
        <v>2111.145</v>
      </c>
      <c r="R38">
        <f t="shared" si="6"/>
        <v>2038.5040799999999</v>
      </c>
      <c r="S38">
        <f t="shared" si="7"/>
        <v>2171.9956499999998</v>
      </c>
      <c r="T38">
        <f t="shared" si="8"/>
        <v>2198.7746112</v>
      </c>
    </row>
    <row r="39" spans="1:20" ht="16" x14ac:dyDescent="0.2">
      <c r="A39" s="1" t="s">
        <v>2</v>
      </c>
      <c r="B39" s="1">
        <v>1964</v>
      </c>
      <c r="C39">
        <v>2571.36</v>
      </c>
      <c r="D39">
        <v>7.0000000000000007E-2</v>
      </c>
      <c r="E39">
        <f t="shared" si="0"/>
        <v>179.99520000000004</v>
      </c>
      <c r="G39">
        <f t="shared" si="1"/>
        <v>269.03438400000005</v>
      </c>
      <c r="H39">
        <f t="shared" si="9"/>
        <v>269.03438400000005</v>
      </c>
      <c r="J39">
        <f t="shared" si="2"/>
        <v>199.47672187500004</v>
      </c>
      <c r="K39">
        <f t="shared" si="3"/>
        <v>159.58137750000003</v>
      </c>
      <c r="M39">
        <f t="shared" ref="M39:M64" si="11">E39+M38*0.2</f>
        <v>269.03438400000005</v>
      </c>
      <c r="N39">
        <f t="shared" si="4"/>
        <v>177.56269344000003</v>
      </c>
      <c r="O39">
        <f t="shared" si="10"/>
        <v>0.66</v>
      </c>
      <c r="Q39">
        <f t="shared" si="5"/>
        <v>2391.3648000000003</v>
      </c>
      <c r="R39">
        <f t="shared" si="6"/>
        <v>2302.3256160000001</v>
      </c>
      <c r="S39">
        <f t="shared" si="7"/>
        <v>2411.7786225</v>
      </c>
      <c r="T39">
        <f t="shared" si="8"/>
        <v>2393.7973065599999</v>
      </c>
    </row>
    <row r="40" spans="1:20" ht="16" x14ac:dyDescent="0.2">
      <c r="A40" s="1" t="s">
        <v>2</v>
      </c>
      <c r="B40" s="1">
        <v>1965</v>
      </c>
      <c r="C40">
        <v>2629.8</v>
      </c>
      <c r="D40">
        <v>0.13</v>
      </c>
      <c r="E40">
        <f t="shared" si="0"/>
        <v>341.87400000000002</v>
      </c>
      <c r="G40">
        <f t="shared" si="1"/>
        <v>395.68087680000002</v>
      </c>
      <c r="H40">
        <f t="shared" si="9"/>
        <v>395.68087680000002</v>
      </c>
      <c r="J40">
        <f t="shared" si="2"/>
        <v>351.84783609375</v>
      </c>
      <c r="K40">
        <f t="shared" si="3"/>
        <v>281.47826887500003</v>
      </c>
      <c r="M40">
        <f t="shared" si="11"/>
        <v>395.68087680000002</v>
      </c>
      <c r="N40">
        <f t="shared" si="4"/>
        <v>269.06299622400002</v>
      </c>
      <c r="O40">
        <f t="shared" si="10"/>
        <v>0.68</v>
      </c>
      <c r="Q40">
        <f t="shared" si="5"/>
        <v>2287.9260000000004</v>
      </c>
      <c r="R40">
        <f t="shared" si="6"/>
        <v>2234.1191232000001</v>
      </c>
      <c r="S40">
        <f t="shared" si="7"/>
        <v>2348.321731125</v>
      </c>
      <c r="T40">
        <f t="shared" si="8"/>
        <v>2360.7370037760002</v>
      </c>
    </row>
    <row r="41" spans="1:20" ht="16" x14ac:dyDescent="0.2">
      <c r="A41" s="1" t="s">
        <v>2</v>
      </c>
      <c r="B41" s="1">
        <v>1966</v>
      </c>
      <c r="C41">
        <v>2512.92</v>
      </c>
      <c r="D41">
        <v>0.18</v>
      </c>
      <c r="E41">
        <f t="shared" si="0"/>
        <v>452.32560000000001</v>
      </c>
      <c r="G41">
        <f t="shared" si="1"/>
        <v>531.46177536000005</v>
      </c>
      <c r="H41">
        <f t="shared" si="9"/>
        <v>531.46177536000005</v>
      </c>
      <c r="J41">
        <f t="shared" si="2"/>
        <v>469.91799180468752</v>
      </c>
      <c r="K41">
        <f t="shared" si="3"/>
        <v>375.93439344375003</v>
      </c>
      <c r="M41">
        <f t="shared" si="11"/>
        <v>531.46177536000005</v>
      </c>
      <c r="N41">
        <f t="shared" si="4"/>
        <v>372.02324275200004</v>
      </c>
      <c r="O41">
        <f t="shared" si="10"/>
        <v>0.70000000000000007</v>
      </c>
      <c r="Q41">
        <f t="shared" si="5"/>
        <v>2060.5944</v>
      </c>
      <c r="R41">
        <f t="shared" si="6"/>
        <v>1981.45822464</v>
      </c>
      <c r="S41">
        <f t="shared" si="7"/>
        <v>2136.9856065562499</v>
      </c>
      <c r="T41">
        <f t="shared" si="8"/>
        <v>2140.8967572480001</v>
      </c>
    </row>
    <row r="42" spans="1:20" ht="16" x14ac:dyDescent="0.2">
      <c r="A42" s="1" t="s">
        <v>2</v>
      </c>
      <c r="B42" s="1">
        <v>1967</v>
      </c>
      <c r="C42">
        <v>2688.24</v>
      </c>
      <c r="D42">
        <v>0.18</v>
      </c>
      <c r="E42">
        <f t="shared" si="0"/>
        <v>483.88319999999993</v>
      </c>
      <c r="G42">
        <f t="shared" si="1"/>
        <v>590.17555507199995</v>
      </c>
      <c r="H42">
        <f t="shared" si="9"/>
        <v>590.17555507199995</v>
      </c>
      <c r="J42">
        <f t="shared" si="2"/>
        <v>507.37909959023432</v>
      </c>
      <c r="K42">
        <f t="shared" si="3"/>
        <v>405.90327967218747</v>
      </c>
      <c r="M42">
        <f t="shared" si="11"/>
        <v>590.17555507199995</v>
      </c>
      <c r="N42">
        <f t="shared" si="4"/>
        <v>424.92639965184003</v>
      </c>
      <c r="O42">
        <f t="shared" si="10"/>
        <v>0.72000000000000008</v>
      </c>
      <c r="Q42">
        <f t="shared" si="5"/>
        <v>2204.3568</v>
      </c>
      <c r="R42">
        <f t="shared" si="6"/>
        <v>2098.0644449279998</v>
      </c>
      <c r="S42">
        <f t="shared" si="7"/>
        <v>2282.3367203278121</v>
      </c>
      <c r="T42">
        <f t="shared" si="8"/>
        <v>2263.3136003481595</v>
      </c>
    </row>
    <row r="43" spans="1:20" ht="16" x14ac:dyDescent="0.2">
      <c r="A43" s="1" t="s">
        <v>2</v>
      </c>
      <c r="B43" s="1">
        <v>1968</v>
      </c>
      <c r="C43">
        <v>2600.58</v>
      </c>
      <c r="D43">
        <v>0.2</v>
      </c>
      <c r="E43">
        <f t="shared" si="0"/>
        <v>520.11599999999999</v>
      </c>
      <c r="G43">
        <f t="shared" si="1"/>
        <v>638.15111101439993</v>
      </c>
      <c r="H43">
        <f t="shared" si="9"/>
        <v>638.15111101439993</v>
      </c>
      <c r="J43">
        <f t="shared" si="2"/>
        <v>545.48495497951171</v>
      </c>
      <c r="K43">
        <f t="shared" si="3"/>
        <v>436.38796398360938</v>
      </c>
      <c r="M43">
        <f t="shared" si="11"/>
        <v>638.15111101439993</v>
      </c>
      <c r="N43">
        <f t="shared" si="4"/>
        <v>472.231822150656</v>
      </c>
      <c r="O43">
        <f t="shared" si="10"/>
        <v>0.7400000000000001</v>
      </c>
      <c r="Q43">
        <f t="shared" si="5"/>
        <v>2080.4639999999999</v>
      </c>
      <c r="R43">
        <f t="shared" si="6"/>
        <v>1962.4288889856</v>
      </c>
      <c r="S43">
        <f t="shared" si="7"/>
        <v>2164.1920360163904</v>
      </c>
      <c r="T43">
        <f t="shared" si="8"/>
        <v>2128.3481778493438</v>
      </c>
    </row>
    <row r="44" spans="1:20" ht="16" x14ac:dyDescent="0.2">
      <c r="A44" s="1" t="s">
        <v>2</v>
      </c>
      <c r="B44" s="1">
        <v>1969</v>
      </c>
      <c r="C44">
        <v>2483.6999999999998</v>
      </c>
      <c r="D44">
        <v>0.17</v>
      </c>
      <c r="E44">
        <f t="shared" si="0"/>
        <v>422.22899999999998</v>
      </c>
      <c r="G44">
        <f t="shared" si="1"/>
        <v>549.85922220288001</v>
      </c>
      <c r="H44">
        <f t="shared" si="9"/>
        <v>549.85922220288001</v>
      </c>
      <c r="J44">
        <f t="shared" si="2"/>
        <v>449.50324774897558</v>
      </c>
      <c r="K44">
        <f t="shared" si="3"/>
        <v>359.60259819918048</v>
      </c>
      <c r="M44">
        <f t="shared" si="11"/>
        <v>549.85922220288001</v>
      </c>
      <c r="N44">
        <f t="shared" si="4"/>
        <v>417.89300887418887</v>
      </c>
      <c r="O44">
        <f t="shared" si="10"/>
        <v>0.76000000000000012</v>
      </c>
      <c r="Q44">
        <f t="shared" si="5"/>
        <v>2061.471</v>
      </c>
      <c r="R44">
        <f t="shared" si="6"/>
        <v>1933.8407777971197</v>
      </c>
      <c r="S44">
        <f t="shared" si="7"/>
        <v>2124.0974018008192</v>
      </c>
      <c r="T44">
        <f t="shared" si="8"/>
        <v>2065.8069911258108</v>
      </c>
    </row>
    <row r="45" spans="1:20" ht="16" x14ac:dyDescent="0.2">
      <c r="A45" s="1" t="s">
        <v>2</v>
      </c>
      <c r="B45" s="1">
        <v>1970</v>
      </c>
      <c r="C45">
        <v>2629.8</v>
      </c>
      <c r="D45">
        <v>0.1</v>
      </c>
      <c r="E45">
        <f t="shared" si="0"/>
        <v>262.98</v>
      </c>
      <c r="G45">
        <f t="shared" si="1"/>
        <v>372.951844440576</v>
      </c>
      <c r="H45">
        <f t="shared" si="9"/>
        <v>372.951844440576</v>
      </c>
      <c r="J45">
        <f t="shared" si="2"/>
        <v>285.45516238744881</v>
      </c>
      <c r="K45">
        <f t="shared" si="3"/>
        <v>228.36412990995905</v>
      </c>
      <c r="M45">
        <f t="shared" si="11"/>
        <v>372.951844440576</v>
      </c>
      <c r="N45">
        <f t="shared" si="4"/>
        <v>290.90243866364932</v>
      </c>
      <c r="O45">
        <f t="shared" si="10"/>
        <v>0.78000000000000014</v>
      </c>
      <c r="Q45">
        <f t="shared" si="5"/>
        <v>2366.8200000000002</v>
      </c>
      <c r="R45">
        <f t="shared" si="6"/>
        <v>2256.8481555594244</v>
      </c>
      <c r="S45">
        <f t="shared" si="7"/>
        <v>2401.4358700900411</v>
      </c>
      <c r="T45">
        <f t="shared" si="8"/>
        <v>2338.8975613363509</v>
      </c>
    </row>
    <row r="46" spans="1:20" ht="16" x14ac:dyDescent="0.2">
      <c r="A46" s="1" t="s">
        <v>2</v>
      </c>
      <c r="B46" s="1">
        <v>1971</v>
      </c>
      <c r="C46">
        <v>2483.6999999999998</v>
      </c>
      <c r="D46">
        <v>0.15</v>
      </c>
      <c r="E46">
        <f t="shared" si="0"/>
        <v>372.55499999999995</v>
      </c>
      <c r="G46">
        <f t="shared" si="1"/>
        <v>447.14536888811517</v>
      </c>
      <c r="H46">
        <f t="shared" si="9"/>
        <v>447.14536888811517</v>
      </c>
      <c r="J46">
        <f t="shared" si="2"/>
        <v>386.82775811937239</v>
      </c>
      <c r="K46">
        <f t="shared" si="3"/>
        <v>309.46220649549792</v>
      </c>
      <c r="M46">
        <f t="shared" si="11"/>
        <v>447.14536888811517</v>
      </c>
      <c r="N46">
        <f t="shared" si="4"/>
        <v>357.71629511049218</v>
      </c>
      <c r="O46">
        <f t="shared" si="10"/>
        <v>0.80000000000000016</v>
      </c>
      <c r="Q46">
        <f t="shared" si="5"/>
        <v>2111.145</v>
      </c>
      <c r="R46">
        <f t="shared" si="6"/>
        <v>2036.5546311118846</v>
      </c>
      <c r="S46">
        <f t="shared" si="7"/>
        <v>2174.237793504502</v>
      </c>
      <c r="T46">
        <f t="shared" si="8"/>
        <v>2125.9837048895079</v>
      </c>
    </row>
    <row r="47" spans="1:20" ht="16" x14ac:dyDescent="0.2">
      <c r="A47" s="1" t="s">
        <v>2</v>
      </c>
      <c r="B47" s="1">
        <v>1972</v>
      </c>
      <c r="C47">
        <v>2425.2600000000002</v>
      </c>
      <c r="D47">
        <v>0.14000000000000001</v>
      </c>
      <c r="E47">
        <f t="shared" si="0"/>
        <v>339.53640000000007</v>
      </c>
      <c r="G47">
        <f t="shared" si="1"/>
        <v>428.96547377762312</v>
      </c>
      <c r="H47">
        <f t="shared" si="9"/>
        <v>428.96547377762312</v>
      </c>
      <c r="J47">
        <f t="shared" si="2"/>
        <v>358.87778790596872</v>
      </c>
      <c r="K47">
        <f t="shared" si="3"/>
        <v>287.10223032477501</v>
      </c>
      <c r="M47">
        <f t="shared" si="11"/>
        <v>428.96547377762312</v>
      </c>
      <c r="N47">
        <f t="shared" si="4"/>
        <v>351.751688497651</v>
      </c>
      <c r="O47">
        <f t="shared" si="10"/>
        <v>0.82000000000000017</v>
      </c>
      <c r="Q47">
        <f t="shared" si="5"/>
        <v>2085.7236000000003</v>
      </c>
      <c r="R47">
        <f t="shared" si="6"/>
        <v>1996.294526222377</v>
      </c>
      <c r="S47">
        <f t="shared" si="7"/>
        <v>2138.1577696752252</v>
      </c>
      <c r="T47">
        <f t="shared" si="8"/>
        <v>2073.508311502349</v>
      </c>
    </row>
    <row r="48" spans="1:20" ht="16" x14ac:dyDescent="0.2">
      <c r="A48" s="1" t="s">
        <v>2</v>
      </c>
      <c r="B48" s="1">
        <v>1973</v>
      </c>
      <c r="C48">
        <v>2542.14</v>
      </c>
      <c r="D48">
        <v>0.1</v>
      </c>
      <c r="E48">
        <f t="shared" si="0"/>
        <v>254.214</v>
      </c>
      <c r="G48">
        <f t="shared" si="1"/>
        <v>340.00709475552463</v>
      </c>
      <c r="H48">
        <f t="shared" si="9"/>
        <v>340.00709475552463</v>
      </c>
      <c r="J48">
        <f t="shared" si="2"/>
        <v>272.15788939529841</v>
      </c>
      <c r="K48">
        <f t="shared" si="3"/>
        <v>217.72631151623875</v>
      </c>
      <c r="M48">
        <f t="shared" si="11"/>
        <v>340.00709475552463</v>
      </c>
      <c r="N48">
        <f t="shared" si="4"/>
        <v>285.60595959464075</v>
      </c>
      <c r="O48">
        <f t="shared" si="10"/>
        <v>0.84000000000000019</v>
      </c>
      <c r="Q48">
        <f t="shared" si="5"/>
        <v>2287.9259999999999</v>
      </c>
      <c r="R48">
        <f t="shared" si="6"/>
        <v>2202.1329052444753</v>
      </c>
      <c r="S48">
        <f t="shared" si="7"/>
        <v>2324.4136884837612</v>
      </c>
      <c r="T48">
        <f t="shared" si="8"/>
        <v>2256.5340404053591</v>
      </c>
    </row>
    <row r="49" spans="1:20" ht="16" x14ac:dyDescent="0.2">
      <c r="A49" s="1" t="s">
        <v>2</v>
      </c>
      <c r="B49" s="1">
        <v>1974</v>
      </c>
      <c r="C49">
        <v>2659.02</v>
      </c>
      <c r="D49">
        <v>0</v>
      </c>
      <c r="E49">
        <f t="shared" si="0"/>
        <v>0</v>
      </c>
      <c r="G49">
        <f t="shared" si="1"/>
        <v>68.001418951104924</v>
      </c>
      <c r="H49">
        <f t="shared" si="9"/>
        <v>68.001418951104924</v>
      </c>
      <c r="J49">
        <f t="shared" si="2"/>
        <v>13.607894469764922</v>
      </c>
      <c r="K49">
        <f t="shared" si="3"/>
        <v>10.886315575811938</v>
      </c>
      <c r="M49">
        <f t="shared" si="11"/>
        <v>68.001418951104924</v>
      </c>
      <c r="N49">
        <f t="shared" si="4"/>
        <v>58.481220297950252</v>
      </c>
      <c r="O49">
        <f t="shared" si="10"/>
        <v>0.86000000000000021</v>
      </c>
      <c r="Q49">
        <f t="shared" si="5"/>
        <v>2659.02</v>
      </c>
      <c r="R49">
        <f t="shared" si="6"/>
        <v>2591.0185810488952</v>
      </c>
      <c r="S49">
        <f t="shared" si="7"/>
        <v>2648.1336844241882</v>
      </c>
      <c r="T49">
        <f t="shared" si="8"/>
        <v>2600.5387797020499</v>
      </c>
    </row>
    <row r="50" spans="1:20" ht="16" x14ac:dyDescent="0.2">
      <c r="A50" s="1" t="s">
        <v>2</v>
      </c>
      <c r="B50" s="1">
        <v>1975</v>
      </c>
      <c r="C50">
        <v>2892.78</v>
      </c>
      <c r="D50">
        <v>0.1</v>
      </c>
      <c r="E50">
        <f t="shared" si="0"/>
        <v>289.27800000000002</v>
      </c>
      <c r="G50">
        <f t="shared" si="1"/>
        <v>302.87828379022102</v>
      </c>
      <c r="H50">
        <f t="shared" si="9"/>
        <v>302.87828379022102</v>
      </c>
      <c r="J50">
        <f t="shared" si="2"/>
        <v>289.95839472348825</v>
      </c>
      <c r="K50">
        <f t="shared" si="3"/>
        <v>231.96671577879061</v>
      </c>
      <c r="M50">
        <f t="shared" si="11"/>
        <v>302.87828379022102</v>
      </c>
      <c r="N50">
        <f t="shared" si="4"/>
        <v>266.53288973539458</v>
      </c>
      <c r="O50">
        <f>O49+0.02</f>
        <v>0.88000000000000023</v>
      </c>
      <c r="Q50">
        <f t="shared" si="5"/>
        <v>2603.5020000000004</v>
      </c>
      <c r="R50">
        <f t="shared" si="6"/>
        <v>2589.9017162097794</v>
      </c>
      <c r="S50">
        <f t="shared" si="7"/>
        <v>2660.8132842212094</v>
      </c>
      <c r="T50">
        <f t="shared" si="8"/>
        <v>2626.2471102646055</v>
      </c>
    </row>
    <row r="51" spans="1:20" ht="16" x14ac:dyDescent="0.2">
      <c r="A51" s="1" t="s">
        <v>2</v>
      </c>
      <c r="B51" s="1">
        <v>1976</v>
      </c>
      <c r="C51">
        <v>2922</v>
      </c>
      <c r="D51">
        <v>0.16</v>
      </c>
      <c r="E51">
        <f t="shared" si="0"/>
        <v>467.52</v>
      </c>
      <c r="G51">
        <f t="shared" si="1"/>
        <v>528.09565675804424</v>
      </c>
      <c r="H51">
        <f t="shared" si="9"/>
        <v>528.09565675804424</v>
      </c>
      <c r="J51">
        <f t="shared" si="2"/>
        <v>482.01791973617441</v>
      </c>
      <c r="K51">
        <f t="shared" si="3"/>
        <v>385.61433578893957</v>
      </c>
      <c r="M51">
        <f t="shared" si="11"/>
        <v>528.09565675804424</v>
      </c>
      <c r="N51">
        <f t="shared" si="4"/>
        <v>475.28609108223992</v>
      </c>
      <c r="O51">
        <f>O50+0.02</f>
        <v>0.90000000000000024</v>
      </c>
      <c r="Q51">
        <f t="shared" si="5"/>
        <v>2454.48</v>
      </c>
      <c r="R51">
        <f t="shared" si="6"/>
        <v>2393.9043432419558</v>
      </c>
      <c r="S51">
        <f t="shared" si="7"/>
        <v>2536.3856642110604</v>
      </c>
      <c r="T51">
        <f t="shared" si="8"/>
        <v>2446.7139089177599</v>
      </c>
    </row>
    <row r="52" spans="1:20" ht="16" x14ac:dyDescent="0.2">
      <c r="A52" s="1" t="s">
        <v>2</v>
      </c>
      <c r="B52" s="1">
        <v>1977</v>
      </c>
      <c r="C52">
        <v>3009.66</v>
      </c>
      <c r="D52">
        <v>0.21</v>
      </c>
      <c r="E52">
        <f t="shared" si="0"/>
        <v>632.02859999999998</v>
      </c>
      <c r="G52">
        <f t="shared" si="1"/>
        <v>737.64773135160885</v>
      </c>
      <c r="H52">
        <f t="shared" si="9"/>
        <v>737.64773135160885</v>
      </c>
      <c r="J52">
        <f t="shared" si="2"/>
        <v>656.12949598680871</v>
      </c>
      <c r="K52">
        <f t="shared" si="3"/>
        <v>524.90359678944696</v>
      </c>
      <c r="M52">
        <f t="shared" si="11"/>
        <v>737.64773135160885</v>
      </c>
      <c r="N52">
        <f t="shared" si="4"/>
        <v>678.63591284348036</v>
      </c>
      <c r="O52">
        <f t="shared" ref="O52" si="12">O51+0.02</f>
        <v>0.92000000000000026</v>
      </c>
      <c r="Q52">
        <f t="shared" si="5"/>
        <v>2377.6313999999998</v>
      </c>
      <c r="R52">
        <f t="shared" si="6"/>
        <v>2272.012268648391</v>
      </c>
      <c r="S52">
        <f t="shared" si="7"/>
        <v>2484.7564032105529</v>
      </c>
      <c r="T52">
        <f t="shared" si="8"/>
        <v>2331.0240871565193</v>
      </c>
    </row>
    <row r="53" spans="1:20" ht="16" x14ac:dyDescent="0.2">
      <c r="A53" s="1" t="s">
        <v>2</v>
      </c>
      <c r="B53" s="1">
        <v>1978</v>
      </c>
      <c r="C53">
        <v>3184.98</v>
      </c>
      <c r="D53">
        <v>0.22</v>
      </c>
      <c r="E53">
        <f t="shared" si="0"/>
        <v>700.69560000000001</v>
      </c>
      <c r="G53">
        <f t="shared" si="1"/>
        <v>848.22514627032183</v>
      </c>
      <c r="H53">
        <f t="shared" si="9"/>
        <v>848.22514627032183</v>
      </c>
      <c r="J53">
        <f t="shared" si="2"/>
        <v>733.50207479934045</v>
      </c>
      <c r="K53">
        <f t="shared" si="3"/>
        <v>586.80165983947234</v>
      </c>
      <c r="M53">
        <f t="shared" si="11"/>
        <v>848.22514627032183</v>
      </c>
      <c r="N53">
        <f t="shared" si="4"/>
        <v>797.33163749410278</v>
      </c>
      <c r="O53">
        <f>O52+0.02</f>
        <v>0.94000000000000028</v>
      </c>
      <c r="Q53">
        <f t="shared" si="5"/>
        <v>2484.2844</v>
      </c>
      <c r="R53">
        <f t="shared" si="6"/>
        <v>2336.754853729678</v>
      </c>
      <c r="S53">
        <f t="shared" si="7"/>
        <v>2598.1783401605276</v>
      </c>
      <c r="T53">
        <f t="shared" si="8"/>
        <v>2387.6483625058972</v>
      </c>
    </row>
    <row r="54" spans="1:20" ht="16" x14ac:dyDescent="0.2">
      <c r="A54" s="1" t="s">
        <v>2</v>
      </c>
      <c r="B54" s="1">
        <v>1979</v>
      </c>
      <c r="C54">
        <v>3214.2</v>
      </c>
      <c r="D54">
        <v>0.2</v>
      </c>
      <c r="E54">
        <f t="shared" si="0"/>
        <v>642.84</v>
      </c>
      <c r="G54">
        <f t="shared" si="1"/>
        <v>812.48502925406444</v>
      </c>
      <c r="H54">
        <f t="shared" si="9"/>
        <v>812.48502925406444</v>
      </c>
      <c r="J54">
        <f t="shared" si="2"/>
        <v>679.515103739967</v>
      </c>
      <c r="K54">
        <f t="shared" si="3"/>
        <v>543.61208299197358</v>
      </c>
      <c r="M54">
        <f t="shared" si="11"/>
        <v>812.48502925406444</v>
      </c>
      <c r="N54">
        <f t="shared" si="4"/>
        <v>779.98562808390216</v>
      </c>
      <c r="O54">
        <f t="shared" ref="O54" si="13">O53+0.02</f>
        <v>0.9600000000000003</v>
      </c>
      <c r="Q54">
        <f t="shared" si="5"/>
        <v>2571.3599999999997</v>
      </c>
      <c r="R54">
        <f t="shared" si="6"/>
        <v>2401.7149707459353</v>
      </c>
      <c r="S54">
        <f t="shared" si="7"/>
        <v>2670.5879170080261</v>
      </c>
      <c r="T54">
        <f t="shared" si="8"/>
        <v>2434.2143719160977</v>
      </c>
    </row>
    <row r="55" spans="1:20" ht="16" x14ac:dyDescent="0.2">
      <c r="A55" s="1" t="s">
        <v>2</v>
      </c>
      <c r="B55" s="1">
        <v>1980</v>
      </c>
      <c r="C55">
        <v>3126.54</v>
      </c>
      <c r="D55">
        <v>0.19</v>
      </c>
      <c r="E55">
        <f t="shared" si="0"/>
        <v>594.04259999999999</v>
      </c>
      <c r="G55">
        <f t="shared" si="1"/>
        <v>756.5396058508129</v>
      </c>
      <c r="H55">
        <f t="shared" si="9"/>
        <v>756.5396058508129</v>
      </c>
      <c r="J55">
        <f t="shared" si="2"/>
        <v>628.01835518699829</v>
      </c>
      <c r="K55">
        <f t="shared" si="3"/>
        <v>502.41468414959866</v>
      </c>
      <c r="M55">
        <f t="shared" si="11"/>
        <v>756.5396058508129</v>
      </c>
      <c r="N55">
        <f t="shared" si="4"/>
        <v>741.40881373379693</v>
      </c>
      <c r="O55">
        <f>O54+0.02</f>
        <v>0.98000000000000032</v>
      </c>
      <c r="Q55">
        <f t="shared" si="5"/>
        <v>2532.4974000000002</v>
      </c>
      <c r="R55">
        <f t="shared" si="6"/>
        <v>2370.0003941491868</v>
      </c>
      <c r="S55">
        <f t="shared" si="7"/>
        <v>2624.1253158504014</v>
      </c>
      <c r="T55">
        <f t="shared" si="8"/>
        <v>2385.1311862662033</v>
      </c>
    </row>
    <row r="56" spans="1:20" ht="16" x14ac:dyDescent="0.2">
      <c r="A56" s="1" t="s">
        <v>2</v>
      </c>
      <c r="B56" s="1">
        <v>1981</v>
      </c>
      <c r="C56">
        <v>3360.3</v>
      </c>
      <c r="D56">
        <v>0.24</v>
      </c>
      <c r="E56">
        <f t="shared" si="0"/>
        <v>806.47199999999998</v>
      </c>
      <c r="G56">
        <f t="shared" si="1"/>
        <v>957.77992117016254</v>
      </c>
      <c r="H56">
        <f t="shared" si="9"/>
        <v>957.77992117016254</v>
      </c>
      <c r="J56">
        <f t="shared" si="2"/>
        <v>837.87291775934989</v>
      </c>
      <c r="K56">
        <f t="shared" si="3"/>
        <v>670.29833420747991</v>
      </c>
      <c r="M56">
        <f t="shared" si="11"/>
        <v>957.77992117016254</v>
      </c>
      <c r="N56">
        <f t="shared" si="4"/>
        <v>957.77992117016277</v>
      </c>
      <c r="O56">
        <f t="shared" ref="O56" si="14">O55+0.02</f>
        <v>1.0000000000000002</v>
      </c>
      <c r="Q56">
        <f t="shared" si="5"/>
        <v>2553.8280000000004</v>
      </c>
      <c r="R56">
        <f t="shared" si="6"/>
        <v>2402.5200788298375</v>
      </c>
      <c r="S56">
        <f t="shared" si="7"/>
        <v>2690.0016657925203</v>
      </c>
      <c r="T56">
        <f t="shared" si="8"/>
        <v>2402.5200788298375</v>
      </c>
    </row>
    <row r="57" spans="1:20" ht="16" x14ac:dyDescent="0.2">
      <c r="A57" s="1" t="s">
        <v>2</v>
      </c>
      <c r="B57" s="1">
        <v>1982</v>
      </c>
      <c r="C57">
        <v>3331.08</v>
      </c>
      <c r="D57">
        <v>0.27</v>
      </c>
      <c r="E57">
        <f t="shared" si="0"/>
        <v>899.39160000000004</v>
      </c>
      <c r="G57">
        <f t="shared" si="1"/>
        <v>1090.9475842340325</v>
      </c>
      <c r="H57">
        <f t="shared" si="9"/>
        <v>1090.9475842340325</v>
      </c>
      <c r="J57">
        <f t="shared" si="2"/>
        <v>941.28524588796756</v>
      </c>
      <c r="K57">
        <f t="shared" si="3"/>
        <v>753.02819671037412</v>
      </c>
      <c r="M57">
        <f t="shared" si="11"/>
        <v>1090.9475842340325</v>
      </c>
      <c r="N57">
        <f t="shared" si="4"/>
        <v>1090.9475842340325</v>
      </c>
      <c r="O57">
        <v>1</v>
      </c>
      <c r="Q57">
        <f t="shared" si="5"/>
        <v>2431.6884</v>
      </c>
      <c r="R57">
        <f t="shared" si="6"/>
        <v>2240.1324157659674</v>
      </c>
      <c r="S57">
        <f t="shared" si="7"/>
        <v>2578.0518032896257</v>
      </c>
      <c r="T57">
        <f t="shared" si="8"/>
        <v>2240.1324157659674</v>
      </c>
    </row>
    <row r="58" spans="1:20" ht="16" x14ac:dyDescent="0.2">
      <c r="A58" s="1" t="s">
        <v>2</v>
      </c>
      <c r="B58" s="1">
        <v>1983</v>
      </c>
      <c r="C58">
        <v>3389.52</v>
      </c>
      <c r="D58">
        <v>0.28999999999999998</v>
      </c>
      <c r="E58">
        <f t="shared" si="0"/>
        <v>982.96079999999995</v>
      </c>
      <c r="G58">
        <f t="shared" si="1"/>
        <v>1201.1503168468064</v>
      </c>
      <c r="H58">
        <f t="shared" si="9"/>
        <v>1201.1503168468064</v>
      </c>
      <c r="J58">
        <f t="shared" si="2"/>
        <v>1030.0250622943984</v>
      </c>
      <c r="K58">
        <f t="shared" si="3"/>
        <v>824.02004983551876</v>
      </c>
      <c r="M58">
        <f t="shared" si="11"/>
        <v>1201.1503168468064</v>
      </c>
      <c r="N58">
        <f t="shared" si="4"/>
        <v>1201.1503168468064</v>
      </c>
      <c r="O58">
        <v>1</v>
      </c>
      <c r="Q58">
        <f t="shared" si="5"/>
        <v>2406.5592000000001</v>
      </c>
      <c r="R58">
        <f t="shared" si="6"/>
        <v>2188.3696831531934</v>
      </c>
      <c r="S58">
        <f t="shared" si="7"/>
        <v>2565.4999501644811</v>
      </c>
      <c r="T58">
        <f t="shared" si="8"/>
        <v>2188.3696831531934</v>
      </c>
    </row>
    <row r="59" spans="1:20" ht="16" x14ac:dyDescent="0.2">
      <c r="A59" s="1" t="s">
        <v>2</v>
      </c>
      <c r="B59" s="1">
        <v>1984</v>
      </c>
      <c r="C59">
        <v>3564.84</v>
      </c>
      <c r="D59">
        <v>0.26</v>
      </c>
      <c r="E59">
        <f t="shared" si="0"/>
        <v>926.85840000000007</v>
      </c>
      <c r="G59">
        <f t="shared" si="1"/>
        <v>1167.0884633693613</v>
      </c>
      <c r="H59">
        <f t="shared" si="9"/>
        <v>1167.0884633693613</v>
      </c>
      <c r="J59">
        <f t="shared" si="2"/>
        <v>978.35965311472</v>
      </c>
      <c r="K59">
        <f t="shared" si="3"/>
        <v>782.68772249177607</v>
      </c>
      <c r="M59">
        <f t="shared" si="11"/>
        <v>1167.0884633693613</v>
      </c>
      <c r="N59">
        <f t="shared" si="4"/>
        <v>1167.0884633693613</v>
      </c>
      <c r="O59">
        <v>1</v>
      </c>
      <c r="Q59">
        <f t="shared" si="5"/>
        <v>2637.9816000000001</v>
      </c>
      <c r="R59">
        <f t="shared" si="6"/>
        <v>2397.7515366306388</v>
      </c>
      <c r="S59">
        <f t="shared" si="7"/>
        <v>2782.152277508224</v>
      </c>
      <c r="T59">
        <f t="shared" si="8"/>
        <v>2397.7515366306388</v>
      </c>
    </row>
    <row r="60" spans="1:20" ht="16" x14ac:dyDescent="0.2">
      <c r="A60" s="1" t="s">
        <v>2</v>
      </c>
      <c r="B60" s="1">
        <v>1985</v>
      </c>
      <c r="C60">
        <v>3623.28</v>
      </c>
      <c r="D60">
        <v>0.26</v>
      </c>
      <c r="E60">
        <f t="shared" si="0"/>
        <v>942.05280000000005</v>
      </c>
      <c r="G60">
        <f t="shared" si="1"/>
        <v>1175.4704926738723</v>
      </c>
      <c r="H60">
        <f t="shared" si="9"/>
        <v>1175.4704926738723</v>
      </c>
      <c r="J60">
        <f t="shared" si="2"/>
        <v>990.970782655736</v>
      </c>
      <c r="K60">
        <f t="shared" si="3"/>
        <v>792.7766261245888</v>
      </c>
      <c r="M60">
        <f t="shared" si="11"/>
        <v>1175.4704926738723</v>
      </c>
      <c r="N60">
        <f t="shared" si="4"/>
        <v>1175.4704926738723</v>
      </c>
      <c r="O60">
        <v>1</v>
      </c>
      <c r="Q60">
        <f t="shared" si="5"/>
        <v>2681.2272000000003</v>
      </c>
      <c r="R60">
        <f t="shared" si="6"/>
        <v>2447.8095073261279</v>
      </c>
      <c r="S60">
        <f t="shared" si="7"/>
        <v>2830.5033738754114</v>
      </c>
      <c r="T60">
        <f t="shared" si="8"/>
        <v>2447.8095073261279</v>
      </c>
    </row>
    <row r="61" spans="1:20" ht="16" x14ac:dyDescent="0.2">
      <c r="A61" s="1" t="s">
        <v>2</v>
      </c>
      <c r="B61" s="1">
        <v>1986</v>
      </c>
      <c r="C61">
        <v>3594.06</v>
      </c>
      <c r="D61">
        <v>0.23</v>
      </c>
      <c r="E61">
        <f t="shared" si="0"/>
        <v>826.63380000000006</v>
      </c>
      <c r="G61">
        <f t="shared" si="1"/>
        <v>1061.7278985347746</v>
      </c>
      <c r="H61">
        <f t="shared" si="9"/>
        <v>1061.7278985347746</v>
      </c>
      <c r="J61">
        <f t="shared" si="2"/>
        <v>876.18233913278686</v>
      </c>
      <c r="K61">
        <f t="shared" si="3"/>
        <v>700.94587130622949</v>
      </c>
      <c r="M61">
        <f t="shared" si="11"/>
        <v>1061.7278985347746</v>
      </c>
      <c r="N61">
        <f t="shared" si="4"/>
        <v>1061.7278985347746</v>
      </c>
      <c r="O61">
        <v>1</v>
      </c>
      <c r="Q61">
        <f t="shared" si="5"/>
        <v>2767.4261999999999</v>
      </c>
      <c r="R61">
        <f t="shared" si="6"/>
        <v>2532.3321014652256</v>
      </c>
      <c r="S61">
        <f t="shared" si="7"/>
        <v>2893.1141286937705</v>
      </c>
      <c r="T61">
        <f t="shared" si="8"/>
        <v>2532.3321014652256</v>
      </c>
    </row>
    <row r="62" spans="1:20" ht="16" x14ac:dyDescent="0.2">
      <c r="A62" s="1" t="s">
        <v>2</v>
      </c>
      <c r="B62" s="1">
        <v>1987</v>
      </c>
      <c r="C62">
        <v>3418.74</v>
      </c>
      <c r="D62">
        <v>0.23</v>
      </c>
      <c r="E62">
        <f t="shared" si="0"/>
        <v>786.31020000000001</v>
      </c>
      <c r="G62">
        <f t="shared" si="1"/>
        <v>998.65577970695495</v>
      </c>
      <c r="H62">
        <f t="shared" si="9"/>
        <v>998.65577970695495</v>
      </c>
      <c r="J62">
        <f t="shared" si="2"/>
        <v>830.1193169566393</v>
      </c>
      <c r="K62">
        <f t="shared" si="3"/>
        <v>664.09545356531146</v>
      </c>
      <c r="M62">
        <f t="shared" si="11"/>
        <v>998.65577970695495</v>
      </c>
      <c r="N62">
        <f t="shared" si="4"/>
        <v>998.65577970695495</v>
      </c>
      <c r="O62">
        <v>1</v>
      </c>
      <c r="Q62">
        <f t="shared" si="5"/>
        <v>2632.4297999999999</v>
      </c>
      <c r="R62">
        <f t="shared" si="6"/>
        <v>2420.0842202930448</v>
      </c>
      <c r="S62">
        <f t="shared" si="7"/>
        <v>2754.6445464346884</v>
      </c>
      <c r="T62">
        <f t="shared" si="8"/>
        <v>2420.0842202930448</v>
      </c>
    </row>
    <row r="63" spans="1:20" ht="16" x14ac:dyDescent="0.2">
      <c r="A63" s="1" t="s">
        <v>2</v>
      </c>
      <c r="B63" s="1">
        <v>1988</v>
      </c>
      <c r="C63">
        <v>3477.18</v>
      </c>
      <c r="D63">
        <v>0.21</v>
      </c>
      <c r="E63">
        <f t="shared" si="0"/>
        <v>730.20779999999991</v>
      </c>
      <c r="G63">
        <f t="shared" si="1"/>
        <v>929.93895594139087</v>
      </c>
      <c r="H63">
        <f t="shared" si="9"/>
        <v>929.93895594139087</v>
      </c>
      <c r="J63">
        <f t="shared" si="2"/>
        <v>771.71376584783184</v>
      </c>
      <c r="K63">
        <f t="shared" si="3"/>
        <v>617.37101267826552</v>
      </c>
      <c r="M63">
        <f t="shared" si="11"/>
        <v>929.93895594139087</v>
      </c>
      <c r="N63">
        <f t="shared" si="4"/>
        <v>929.93895594139087</v>
      </c>
      <c r="O63">
        <v>1</v>
      </c>
      <c r="Q63">
        <f t="shared" si="5"/>
        <v>2746.9722000000002</v>
      </c>
      <c r="R63">
        <f t="shared" si="6"/>
        <v>2547.2410440586091</v>
      </c>
      <c r="S63">
        <f t="shared" si="7"/>
        <v>2859.8089873217341</v>
      </c>
      <c r="T63">
        <f t="shared" si="8"/>
        <v>2547.2410440586091</v>
      </c>
    </row>
    <row r="64" spans="1:20" ht="16" x14ac:dyDescent="0.2">
      <c r="A64" s="1" t="s">
        <v>2</v>
      </c>
      <c r="B64" s="1">
        <v>1989</v>
      </c>
      <c r="C64">
        <v>3447.96</v>
      </c>
      <c r="D64">
        <v>0.2</v>
      </c>
      <c r="E64">
        <f t="shared" si="0"/>
        <v>689.5920000000001</v>
      </c>
      <c r="G64">
        <f t="shared" si="1"/>
        <v>875.57979118827825</v>
      </c>
      <c r="H64">
        <f t="shared" si="9"/>
        <v>875.57979118827825</v>
      </c>
      <c r="J64">
        <f t="shared" si="2"/>
        <v>728.17768829239174</v>
      </c>
      <c r="K64">
        <f t="shared" si="3"/>
        <v>582.54215063391337</v>
      </c>
      <c r="M64">
        <f t="shared" si="11"/>
        <v>875.57979118827825</v>
      </c>
      <c r="N64">
        <f t="shared" si="4"/>
        <v>875.57979118827825</v>
      </c>
      <c r="O64">
        <v>1</v>
      </c>
      <c r="Q64">
        <f t="shared" si="5"/>
        <v>2758.3679999999999</v>
      </c>
      <c r="R64">
        <f t="shared" si="6"/>
        <v>2572.3802088117218</v>
      </c>
      <c r="S64">
        <f t="shared" si="7"/>
        <v>2865.4178493660866</v>
      </c>
      <c r="T64">
        <f t="shared" si="8"/>
        <v>2572.3802088117218</v>
      </c>
    </row>
  </sheetData>
  <mergeCells count="3">
    <mergeCell ref="G1:H1"/>
    <mergeCell ref="J1:K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E27D-8811-DB4D-8F39-769B7F6D8814}">
  <dimension ref="A1:E30"/>
  <sheetViews>
    <sheetView tabSelected="1" workbookViewId="0">
      <selection activeCell="C1" sqref="C1:E30"/>
    </sheetView>
  </sheetViews>
  <sheetFormatPr baseColWidth="10" defaultRowHeight="15" x14ac:dyDescent="0.2"/>
  <sheetData>
    <row r="1" spans="1:5" ht="16" x14ac:dyDescent="0.2">
      <c r="A1" t="s">
        <v>17</v>
      </c>
      <c r="B1" s="4" t="s">
        <v>18</v>
      </c>
      <c r="C1" t="s">
        <v>19</v>
      </c>
      <c r="D1" t="s">
        <v>20</v>
      </c>
      <c r="E1" t="s">
        <v>21</v>
      </c>
    </row>
    <row r="2" spans="1:5" ht="16" x14ac:dyDescent="0.2">
      <c r="A2" s="1" t="s">
        <v>2</v>
      </c>
      <c r="B2" s="1">
        <v>1961</v>
      </c>
      <c r="C2">
        <v>2748.1410000000001</v>
      </c>
      <c r="D2">
        <v>2777.0688</v>
      </c>
      <c r="E2">
        <v>2805.9966000000004</v>
      </c>
    </row>
    <row r="3" spans="1:5" ht="16" x14ac:dyDescent="0.2">
      <c r="A3" s="1" t="s">
        <v>2</v>
      </c>
      <c r="B3" s="1">
        <v>1962</v>
      </c>
      <c r="C3">
        <v>2208.1554000000001</v>
      </c>
      <c r="D3">
        <v>2298.1530000000002</v>
      </c>
      <c r="E3">
        <v>2346.1731480000003</v>
      </c>
    </row>
    <row r="4" spans="1:5" ht="16" x14ac:dyDescent="0.2">
      <c r="A4" s="1" t="s">
        <v>2</v>
      </c>
      <c r="B4" s="1">
        <v>1963</v>
      </c>
      <c r="C4">
        <v>2038.5040799999999</v>
      </c>
      <c r="D4">
        <v>2171.9956499999998</v>
      </c>
      <c r="E4">
        <v>2198.7746112</v>
      </c>
    </row>
    <row r="5" spans="1:5" ht="16" x14ac:dyDescent="0.2">
      <c r="A5" s="1" t="s">
        <v>2</v>
      </c>
      <c r="B5" s="1">
        <v>1964</v>
      </c>
      <c r="C5">
        <v>2302.3256160000001</v>
      </c>
      <c r="D5">
        <v>2411.7786225</v>
      </c>
      <c r="E5">
        <v>2393.7973065599999</v>
      </c>
    </row>
    <row r="6" spans="1:5" ht="16" x14ac:dyDescent="0.2">
      <c r="A6" s="1" t="s">
        <v>2</v>
      </c>
      <c r="B6" s="1">
        <v>1965</v>
      </c>
      <c r="C6">
        <v>2234.1191232000001</v>
      </c>
      <c r="D6">
        <v>2348.321731125</v>
      </c>
      <c r="E6">
        <v>2360.7370037760002</v>
      </c>
    </row>
    <row r="7" spans="1:5" ht="16" x14ac:dyDescent="0.2">
      <c r="A7" s="1" t="s">
        <v>2</v>
      </c>
      <c r="B7" s="1">
        <v>1966</v>
      </c>
      <c r="C7">
        <v>1981.45822464</v>
      </c>
      <c r="D7">
        <v>2136.9856065562499</v>
      </c>
      <c r="E7">
        <v>2140.8967572480001</v>
      </c>
    </row>
    <row r="8" spans="1:5" ht="16" x14ac:dyDescent="0.2">
      <c r="A8" s="1" t="s">
        <v>2</v>
      </c>
      <c r="B8" s="1">
        <v>1967</v>
      </c>
      <c r="C8">
        <v>2098.0644449279998</v>
      </c>
      <c r="D8">
        <v>2282.3367203278121</v>
      </c>
      <c r="E8">
        <v>2263.3136003481595</v>
      </c>
    </row>
    <row r="9" spans="1:5" ht="16" x14ac:dyDescent="0.2">
      <c r="A9" s="1" t="s">
        <v>2</v>
      </c>
      <c r="B9" s="1">
        <v>1968</v>
      </c>
      <c r="C9">
        <v>1962.4288889856</v>
      </c>
      <c r="D9">
        <v>2164.1920360163904</v>
      </c>
      <c r="E9">
        <v>2128.3481778493438</v>
      </c>
    </row>
    <row r="10" spans="1:5" ht="16" x14ac:dyDescent="0.2">
      <c r="A10" s="1" t="s">
        <v>2</v>
      </c>
      <c r="B10" s="1">
        <v>1969</v>
      </c>
      <c r="C10">
        <v>1933.8407777971197</v>
      </c>
      <c r="D10">
        <v>2124.0974018008192</v>
      </c>
      <c r="E10">
        <v>2065.8069911258108</v>
      </c>
    </row>
    <row r="11" spans="1:5" ht="16" x14ac:dyDescent="0.2">
      <c r="A11" s="1" t="s">
        <v>2</v>
      </c>
      <c r="B11" s="1">
        <v>1970</v>
      </c>
      <c r="C11">
        <v>2256.8481555594244</v>
      </c>
      <c r="D11">
        <v>2401.4358700900411</v>
      </c>
      <c r="E11">
        <v>2338.8975613363509</v>
      </c>
    </row>
    <row r="12" spans="1:5" ht="16" x14ac:dyDescent="0.2">
      <c r="A12" s="1" t="s">
        <v>2</v>
      </c>
      <c r="B12" s="1">
        <v>1971</v>
      </c>
      <c r="C12">
        <v>2036.5546311118846</v>
      </c>
      <c r="D12">
        <v>2174.237793504502</v>
      </c>
      <c r="E12">
        <v>2125.9837048895079</v>
      </c>
    </row>
    <row r="13" spans="1:5" ht="16" x14ac:dyDescent="0.2">
      <c r="A13" s="1" t="s">
        <v>2</v>
      </c>
      <c r="B13" s="1">
        <v>1972</v>
      </c>
      <c r="C13">
        <v>1996.294526222377</v>
      </c>
      <c r="D13">
        <v>2138.1577696752252</v>
      </c>
      <c r="E13">
        <v>2073.508311502349</v>
      </c>
    </row>
    <row r="14" spans="1:5" ht="16" x14ac:dyDescent="0.2">
      <c r="A14" s="1" t="s">
        <v>2</v>
      </c>
      <c r="B14" s="1">
        <v>1973</v>
      </c>
      <c r="C14">
        <v>2202.1329052444753</v>
      </c>
      <c r="D14">
        <v>2324.4136884837612</v>
      </c>
      <c r="E14">
        <v>2256.5340404053591</v>
      </c>
    </row>
    <row r="15" spans="1:5" ht="16" x14ac:dyDescent="0.2">
      <c r="A15" s="1" t="s">
        <v>2</v>
      </c>
      <c r="B15" s="1">
        <v>1974</v>
      </c>
      <c r="C15">
        <v>2591.0185810488952</v>
      </c>
      <c r="D15">
        <v>2648.1336844241882</v>
      </c>
      <c r="E15">
        <v>2600.5387797020499</v>
      </c>
    </row>
    <row r="16" spans="1:5" ht="16" x14ac:dyDescent="0.2">
      <c r="A16" s="1" t="s">
        <v>2</v>
      </c>
      <c r="B16" s="1">
        <v>1975</v>
      </c>
      <c r="C16">
        <v>2589.9017162097794</v>
      </c>
      <c r="D16">
        <v>2660.8132842212094</v>
      </c>
      <c r="E16">
        <v>2626.2471102646055</v>
      </c>
    </row>
    <row r="17" spans="1:5" ht="16" x14ac:dyDescent="0.2">
      <c r="A17" s="1" t="s">
        <v>2</v>
      </c>
      <c r="B17" s="1">
        <v>1976</v>
      </c>
      <c r="C17">
        <v>2393.9043432419558</v>
      </c>
      <c r="D17">
        <v>2536.3856642110604</v>
      </c>
      <c r="E17">
        <v>2446.7139089177599</v>
      </c>
    </row>
    <row r="18" spans="1:5" ht="16" x14ac:dyDescent="0.2">
      <c r="A18" s="1" t="s">
        <v>2</v>
      </c>
      <c r="B18" s="1">
        <v>1977</v>
      </c>
      <c r="C18">
        <v>2272.012268648391</v>
      </c>
      <c r="D18">
        <v>2484.7564032105529</v>
      </c>
      <c r="E18">
        <v>2331.0240871565193</v>
      </c>
    </row>
    <row r="19" spans="1:5" ht="16" x14ac:dyDescent="0.2">
      <c r="A19" s="1" t="s">
        <v>2</v>
      </c>
      <c r="B19" s="1">
        <v>1978</v>
      </c>
      <c r="C19">
        <v>2336.754853729678</v>
      </c>
      <c r="D19">
        <v>2598.1783401605276</v>
      </c>
      <c r="E19">
        <v>2387.6483625058972</v>
      </c>
    </row>
    <row r="20" spans="1:5" ht="16" x14ac:dyDescent="0.2">
      <c r="A20" s="1" t="s">
        <v>2</v>
      </c>
      <c r="B20" s="1">
        <v>1979</v>
      </c>
      <c r="C20">
        <v>2401.7149707459353</v>
      </c>
      <c r="D20">
        <v>2670.5879170080261</v>
      </c>
      <c r="E20">
        <v>2434.2143719160977</v>
      </c>
    </row>
    <row r="21" spans="1:5" ht="16" x14ac:dyDescent="0.2">
      <c r="A21" s="1" t="s">
        <v>2</v>
      </c>
      <c r="B21" s="1">
        <v>1980</v>
      </c>
      <c r="C21">
        <v>2370.0003941491868</v>
      </c>
      <c r="D21">
        <v>2624.1253158504014</v>
      </c>
      <c r="E21">
        <v>2385.1311862662033</v>
      </c>
    </row>
    <row r="22" spans="1:5" ht="16" x14ac:dyDescent="0.2">
      <c r="A22" s="1" t="s">
        <v>2</v>
      </c>
      <c r="B22" s="1">
        <v>1981</v>
      </c>
      <c r="C22">
        <v>2402.5200788298375</v>
      </c>
      <c r="D22">
        <v>2690.0016657925203</v>
      </c>
      <c r="E22">
        <v>2402.5200788298375</v>
      </c>
    </row>
    <row r="23" spans="1:5" ht="16" x14ac:dyDescent="0.2">
      <c r="A23" s="1" t="s">
        <v>2</v>
      </c>
      <c r="B23" s="1">
        <v>1982</v>
      </c>
      <c r="C23">
        <v>2240.1324157659674</v>
      </c>
      <c r="D23">
        <v>2578.0518032896257</v>
      </c>
      <c r="E23">
        <v>2240.1324157659674</v>
      </c>
    </row>
    <row r="24" spans="1:5" ht="16" x14ac:dyDescent="0.2">
      <c r="A24" s="1" t="s">
        <v>2</v>
      </c>
      <c r="B24" s="1">
        <v>1983</v>
      </c>
      <c r="C24">
        <v>2188.3696831531934</v>
      </c>
      <c r="D24">
        <v>2565.4999501644811</v>
      </c>
      <c r="E24">
        <v>2188.3696831531934</v>
      </c>
    </row>
    <row r="25" spans="1:5" ht="16" x14ac:dyDescent="0.2">
      <c r="A25" s="1" t="s">
        <v>2</v>
      </c>
      <c r="B25" s="1">
        <v>1984</v>
      </c>
      <c r="C25">
        <v>2397.7515366306388</v>
      </c>
      <c r="D25">
        <v>2782.152277508224</v>
      </c>
      <c r="E25">
        <v>2397.7515366306388</v>
      </c>
    </row>
    <row r="26" spans="1:5" ht="16" x14ac:dyDescent="0.2">
      <c r="A26" s="1" t="s">
        <v>2</v>
      </c>
      <c r="B26" s="1">
        <v>1985</v>
      </c>
      <c r="C26">
        <v>2447.8095073261279</v>
      </c>
      <c r="D26">
        <v>2830.5033738754114</v>
      </c>
      <c r="E26">
        <v>2447.8095073261279</v>
      </c>
    </row>
    <row r="27" spans="1:5" ht="16" x14ac:dyDescent="0.2">
      <c r="A27" s="1" t="s">
        <v>2</v>
      </c>
      <c r="B27" s="1">
        <v>1986</v>
      </c>
      <c r="C27">
        <v>2532.3321014652256</v>
      </c>
      <c r="D27">
        <v>2893.1141286937705</v>
      </c>
      <c r="E27">
        <v>2532.3321014652256</v>
      </c>
    </row>
    <row r="28" spans="1:5" ht="16" x14ac:dyDescent="0.2">
      <c r="A28" s="1" t="s">
        <v>2</v>
      </c>
      <c r="B28" s="1">
        <v>1987</v>
      </c>
      <c r="C28">
        <v>2420.0842202930448</v>
      </c>
      <c r="D28">
        <v>2754.6445464346884</v>
      </c>
      <c r="E28">
        <v>2420.0842202930448</v>
      </c>
    </row>
    <row r="29" spans="1:5" ht="16" x14ac:dyDescent="0.2">
      <c r="A29" s="1" t="s">
        <v>2</v>
      </c>
      <c r="B29" s="1">
        <v>1988</v>
      </c>
      <c r="C29">
        <v>2547.2410440586091</v>
      </c>
      <c r="D29">
        <v>2859.8089873217341</v>
      </c>
      <c r="E29">
        <v>2547.2410440586091</v>
      </c>
    </row>
    <row r="30" spans="1:5" ht="16" x14ac:dyDescent="0.2">
      <c r="A30" s="1" t="s">
        <v>2</v>
      </c>
      <c r="B30" s="1">
        <v>1989</v>
      </c>
      <c r="C30">
        <v>2572.3802088117218</v>
      </c>
      <c r="D30">
        <v>2865.4178493660866</v>
      </c>
      <c r="E30">
        <v>2572.3802088117218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Geloso</dc:creator>
  <cp:lastModifiedBy>Bastos, Joao Pedro</cp:lastModifiedBy>
  <dcterms:created xsi:type="dcterms:W3CDTF">2026-01-13T16:18:58Z</dcterms:created>
  <dcterms:modified xsi:type="dcterms:W3CDTF">2026-02-16T01:05:00Z</dcterms:modified>
</cp:coreProperties>
</file>